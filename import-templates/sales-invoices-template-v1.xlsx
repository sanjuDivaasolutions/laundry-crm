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chint\Desktop\Temp\"/>
    </mc:Choice>
  </mc:AlternateContent>
  <xr:revisionPtr revIDLastSave="0" documentId="13_ncr:1_{FB35BC5A-95EC-4792-9A52-4EE2A9E96A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-Diversified Dept" sheetId="4" r:id="rId1"/>
    <sheet name="Inventory-Diversified Dept" sheetId="2" r:id="rId2"/>
  </sheets>
  <definedNames>
    <definedName name="_xlnm._FilterDatabase" localSheetId="1" hidden="1">'Inventory-Diversified Dept'!$A$1:$O$65</definedName>
    <definedName name="_xlnm._FilterDatabase" localSheetId="0" hidden="1">'Invoice-Diversified Dept'!$A$1:$O$48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3" i="2" l="1"/>
  <c r="M62" i="2"/>
  <c r="M61" i="2"/>
  <c r="M60" i="2"/>
  <c r="M3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saifh</author>
  </authors>
  <commentList>
    <comment ref="M4" authorId="0" shapeId="0" xr:uid="{00000000-0006-0000-0000-000001000000}">
      <text>
        <r>
          <rPr>
            <b/>
            <sz val="9"/>
            <rFont val="Tahoma"/>
            <charset val="134"/>
          </rPr>
          <t>sara: Invoice not Found</t>
        </r>
      </text>
    </comment>
    <comment ref="M5" authorId="0" shapeId="0" xr:uid="{00000000-0006-0000-0000-000002000000}">
      <text>
        <r>
          <rPr>
            <b/>
            <sz val="9"/>
            <rFont val="Tahoma"/>
            <charset val="134"/>
          </rPr>
          <t>sara: Invoice not Found</t>
        </r>
      </text>
    </comment>
    <comment ref="M6" authorId="0" shapeId="0" xr:uid="{00000000-0006-0000-0000-000003000000}">
      <text>
        <r>
          <rPr>
            <b/>
            <sz val="9"/>
            <rFont val="Tahoma"/>
            <charset val="134"/>
          </rPr>
          <t>sara: Invoice not Found</t>
        </r>
      </text>
    </comment>
    <comment ref="N15" authorId="0" shapeId="0" xr:uid="{00000000-0006-0000-0000-000004000000}">
      <text>
        <r>
          <rPr>
            <b/>
            <sz val="9"/>
            <rFont val="Tahoma"/>
            <charset val="134"/>
          </rPr>
          <t>sara: this is not quantity..please check it (quantity is 36379)</t>
        </r>
      </text>
    </comment>
  </commentList>
</comments>
</file>

<file path=xl/sharedStrings.xml><?xml version="1.0" encoding="utf-8"?>
<sst xmlns="http://schemas.openxmlformats.org/spreadsheetml/2006/main" count="1000" uniqueCount="161">
  <si>
    <t>Invoice Number</t>
  </si>
  <si>
    <t>Product Name</t>
  </si>
  <si>
    <t>Optus Item Code</t>
  </si>
  <si>
    <t>Description</t>
  </si>
  <si>
    <t>Design Number</t>
  </si>
  <si>
    <t>Blend</t>
  </si>
  <si>
    <t>GSM</t>
  </si>
  <si>
    <t>Width</t>
  </si>
  <si>
    <t>HSN/SAC</t>
  </si>
  <si>
    <t>Unit</t>
  </si>
  <si>
    <t>Shade</t>
  </si>
  <si>
    <t>Sub Shade</t>
  </si>
  <si>
    <t>Rate</t>
  </si>
  <si>
    <t>Quantity</t>
  </si>
  <si>
    <t>Z230101</t>
  </si>
  <si>
    <t>PVC Coated Polyster Fabric</t>
  </si>
  <si>
    <t>OPT-L-054-00001</t>
  </si>
  <si>
    <t>PVC Coated Fabric</t>
  </si>
  <si>
    <t>Polyster with PVC Coating</t>
  </si>
  <si>
    <t>meter</t>
  </si>
  <si>
    <t>Z230102</t>
  </si>
  <si>
    <t>OPT-L-121-00001</t>
  </si>
  <si>
    <t>Z230103</t>
  </si>
  <si>
    <t>Z230104</t>
  </si>
  <si>
    <t>Z230105</t>
  </si>
  <si>
    <t>Z230201</t>
  </si>
  <si>
    <t>Nylon Spandex Fabric</t>
  </si>
  <si>
    <t>OPT-L-116-00002</t>
  </si>
  <si>
    <t>NS Lycra PD</t>
  </si>
  <si>
    <t>Nylon Spandex Lycra</t>
  </si>
  <si>
    <t>OPT-L-116-00003</t>
  </si>
  <si>
    <t>Z230301</t>
  </si>
  <si>
    <t>Z230302</t>
  </si>
  <si>
    <t>Z230303</t>
  </si>
  <si>
    <t>OPT-L-054-00002</t>
  </si>
  <si>
    <t>Cord-1</t>
  </si>
  <si>
    <t>Z230304</t>
  </si>
  <si>
    <t>Z230401</t>
  </si>
  <si>
    <t>Z230402</t>
  </si>
  <si>
    <t>Z230403</t>
  </si>
  <si>
    <t>Jacquard PVC</t>
  </si>
  <si>
    <t>OPT-L-056-00002</t>
  </si>
  <si>
    <t>Jacquard with PVC Coating</t>
  </si>
  <si>
    <t>Z230404</t>
  </si>
  <si>
    <t>Z230405</t>
  </si>
  <si>
    <t>OPT-L-056-00003</t>
  </si>
  <si>
    <t>Cord-2</t>
  </si>
  <si>
    <t>Z230406</t>
  </si>
  <si>
    <t>Airmash Fabric</t>
  </si>
  <si>
    <t>OPT-L-054-00003</t>
  </si>
  <si>
    <t>Polyster Knitting Fabric</t>
  </si>
  <si>
    <t>Polyster Knitted</t>
  </si>
  <si>
    <t>KG</t>
  </si>
  <si>
    <t>Black</t>
  </si>
  <si>
    <t>Z230407</t>
  </si>
  <si>
    <t>Z230408</t>
  </si>
  <si>
    <t>Z230501</t>
  </si>
  <si>
    <t>Z230502</t>
  </si>
  <si>
    <t>OPT-L-116-00001</t>
  </si>
  <si>
    <t>Z230503</t>
  </si>
  <si>
    <t>Z230504</t>
  </si>
  <si>
    <t>Z230505</t>
  </si>
  <si>
    <t>Z230506</t>
  </si>
  <si>
    <t>Z230601</t>
  </si>
  <si>
    <t>Z230602</t>
  </si>
  <si>
    <t>Z230701</t>
  </si>
  <si>
    <t>Z230702</t>
  </si>
  <si>
    <t>Z230703</t>
  </si>
  <si>
    <t>Z230704</t>
  </si>
  <si>
    <t>Z230705</t>
  </si>
  <si>
    <t>OPT-L-055-00003</t>
  </si>
  <si>
    <t>Gucci-3</t>
  </si>
  <si>
    <t>Z230801</t>
  </si>
  <si>
    <t>Chinese blowing machine display</t>
  </si>
  <si>
    <t>OPT-Machine</t>
  </si>
  <si>
    <t>Machine Parts</t>
  </si>
  <si>
    <t>Machine</t>
  </si>
  <si>
    <t>Pieces</t>
  </si>
  <si>
    <t>Stretch Rod</t>
  </si>
  <si>
    <t>Preform Conveyers</t>
  </si>
  <si>
    <t>Compressor motor pully</t>
  </si>
  <si>
    <t>Blowing pin air cylinder</t>
  </si>
  <si>
    <t>Chinese blowing machine with push button</t>
  </si>
  <si>
    <t>Air Mould Cylinder</t>
  </si>
  <si>
    <t>Push Bottle Bracket</t>
  </si>
  <si>
    <t>Piston Rod</t>
  </si>
  <si>
    <t>Telescopic Road</t>
  </si>
  <si>
    <t>Z230802</t>
  </si>
  <si>
    <t>Textile Product</t>
  </si>
  <si>
    <t>OPT-L-059-00001</t>
  </si>
  <si>
    <t>Polyster80%/Viscose20%</t>
  </si>
  <si>
    <t>58-60 inch</t>
  </si>
  <si>
    <t>Z230706</t>
  </si>
  <si>
    <t>Z230803</t>
  </si>
  <si>
    <t>Z230804</t>
  </si>
  <si>
    <t>Rayon Nylon Spandex Kolin</t>
  </si>
  <si>
    <t>OPT-L-123-00001</t>
  </si>
  <si>
    <t>Kolin</t>
  </si>
  <si>
    <t>Rayon54.50%/Nylon37.50%/Spandex7.50%</t>
  </si>
  <si>
    <t>300-320</t>
  </si>
  <si>
    <t>155 cm</t>
  </si>
  <si>
    <t>Kg</t>
  </si>
  <si>
    <t>Z230805</t>
  </si>
  <si>
    <t>Z230806</t>
  </si>
  <si>
    <t>Z230901</t>
  </si>
  <si>
    <t>Z230902</t>
  </si>
  <si>
    <t>Z230903</t>
  </si>
  <si>
    <t>Z230904</t>
  </si>
  <si>
    <t>OPT-L-121-00002</t>
  </si>
  <si>
    <t>Gucci-1</t>
  </si>
  <si>
    <t>Z230905</t>
  </si>
  <si>
    <t>OPT-L-054-00004</t>
  </si>
  <si>
    <t>300D RIPSTOP PVC</t>
  </si>
  <si>
    <t>Ripstop1</t>
  </si>
  <si>
    <t>OPT-L-054-00005</t>
  </si>
  <si>
    <t>Nylon Taffeta with PVC Coating</t>
  </si>
  <si>
    <t>Z231001</t>
  </si>
  <si>
    <t>OPT-L-122-00001</t>
  </si>
  <si>
    <t>Z231002</t>
  </si>
  <si>
    <t>Blue</t>
  </si>
  <si>
    <t>Z231003</t>
  </si>
  <si>
    <t>Z231004</t>
  </si>
  <si>
    <t>OPT-L-055-00001</t>
  </si>
  <si>
    <t>Company</t>
  </si>
  <si>
    <t>Department</t>
  </si>
  <si>
    <t>Date</t>
  </si>
  <si>
    <t>Currency</t>
  </si>
  <si>
    <t>Sales Order Number</t>
  </si>
  <si>
    <t>Buyer</t>
  </si>
  <si>
    <t>Merchandiser</t>
  </si>
  <si>
    <t>Alias</t>
  </si>
  <si>
    <t>Sub Client</t>
  </si>
  <si>
    <t>Payment Term</t>
  </si>
  <si>
    <t>Shipment Mode</t>
  </si>
  <si>
    <t>Port of Origin</t>
  </si>
  <si>
    <t>Port of Destination</t>
  </si>
  <si>
    <t>Remark</t>
  </si>
  <si>
    <t>Optus International HK Limited</t>
  </si>
  <si>
    <t>Diversified</t>
  </si>
  <si>
    <t>USD</t>
  </si>
  <si>
    <t>Shree Adinath Trading Private Limited</t>
  </si>
  <si>
    <t>ARUN</t>
  </si>
  <si>
    <t>Adinath</t>
  </si>
  <si>
    <t>TT</t>
  </si>
  <si>
    <t>Sea</t>
  </si>
  <si>
    <t>Ningbo</t>
  </si>
  <si>
    <t>Nhava Sheva</t>
  </si>
  <si>
    <t>Milestone Import and Export Limited</t>
  </si>
  <si>
    <t>Milestone</t>
  </si>
  <si>
    <t>Tecra</t>
  </si>
  <si>
    <t>Chennai</t>
  </si>
  <si>
    <t>SHYSUN TECHNO VISION CORPORATION</t>
  </si>
  <si>
    <t>TECHPLUS</t>
  </si>
  <si>
    <t>RAVI OVERSEAS</t>
  </si>
  <si>
    <t>AGS Fabrics</t>
  </si>
  <si>
    <t>AGS</t>
  </si>
  <si>
    <t xml:space="preserve">  EKO INTERNATIONAL TRADING LLC</t>
  </si>
  <si>
    <t>EKO</t>
  </si>
  <si>
    <t>Banjul</t>
  </si>
  <si>
    <t>PLANET ROCK</t>
  </si>
  <si>
    <t>Shushilji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</si>
</sst>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[$-409]d/mmm;@"/>
    <numFmt numFmtId="167" formatCode="yyyy/mm/dd;@"/>
    <numFmt numFmtId="168" formatCode="0.00_ "/>
  </numFmts>
  <fonts count="8">
    <font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0"/>
      <name val="Verdana"/>
      <charset val="134"/>
    </font>
    <font>
      <sz val="10"/>
      <color rgb="FFFF0000"/>
      <name val="Verdana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2"/>
      <name val="宋体"/>
      <charset val="134"/>
    </font>
    <font>
      <b/>
      <sz val="9"/>
      <name val="Tahoma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6" fontId="6" fillId="0" borderId="0">
      <alignment vertical="center"/>
    </xf>
    <xf numFmtId="0" fontId="6" fillId="0" borderId="0"/>
  </cellStyleXfs>
  <cellXfs count="25">
    <xf numFmtId="0" fontId="0" fillId="0" borderId="0" xfId="0"/>
    <xf numFmtId="0" fontId="0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/>
    </xf>
    <xf numFmtId="167" fontId="3" fillId="2" borderId="1" xfId="0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2" xfId="0" applyBorder="1"/>
    <xf numFmtId="0" fontId="4" fillId="0" borderId="0" xfId="0" applyFont="1"/>
    <xf numFmtId="0" fontId="0" fillId="2" borderId="0" xfId="0" applyFill="1"/>
    <xf numFmtId="0" fontId="4" fillId="0" borderId="1" xfId="0" applyFont="1" applyBorder="1"/>
    <xf numFmtId="0" fontId="0" fillId="2" borderId="1" xfId="0" applyFill="1" applyBorder="1"/>
    <xf numFmtId="0" fontId="5" fillId="0" borderId="1" xfId="0" applyFont="1" applyBorder="1"/>
    <xf numFmtId="0" fontId="0" fillId="3" borderId="1" xfId="0" applyFill="1" applyBorder="1"/>
    <xf numFmtId="2" fontId="0" fillId="0" borderId="1" xfId="0" applyNumberFormat="1" applyBorder="1"/>
    <xf numFmtId="168" fontId="0" fillId="0" borderId="1" xfId="0" applyNumberFormat="1" applyBorder="1"/>
  </cellXfs>
  <cellStyles count="3">
    <cellStyle name="Normal" xfId="0" builtinId="0"/>
    <cellStyle name="常规 2" xfId="1" xr:uid="{00000000-0005-0000-0000-000031000000}"/>
    <cellStyle name="常规_A046 HP-31668B-4 HP-31668B-5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"/>
  <sheetViews>
    <sheetView tabSelected="1" workbookViewId="0">
      <selection activeCell="B2" sqref="B2"/>
    </sheetView>
  </sheetViews>
  <sheetFormatPr defaultColWidth="8.85546875" defaultRowHeight="15"/>
  <cols>
    <col min="1" max="1" width="20.5703125" customWidth="1"/>
    <col min="2" max="2" width="32.140625" customWidth="1"/>
    <col min="3" max="3" width="12" customWidth="1"/>
    <col min="4" max="4" width="13.5703125" customWidth="1"/>
    <col min="5" max="6" width="9.140625" customWidth="1"/>
    <col min="7" max="7" width="50.5703125" customWidth="1"/>
    <col min="8" max="10" width="18.85546875" customWidth="1"/>
    <col min="11" max="11" width="14.5703125" customWidth="1"/>
    <col min="12" max="12" width="15.85546875" customWidth="1"/>
    <col min="13" max="13" width="13.140625" customWidth="1"/>
    <col min="14" max="14" width="18.42578125" customWidth="1"/>
    <col min="15" max="15" width="8.140625" customWidth="1"/>
  </cols>
  <sheetData>
    <row r="1" spans="1:15">
      <c r="A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5" t="s">
        <v>135</v>
      </c>
      <c r="O1" s="15" t="s">
        <v>136</v>
      </c>
    </row>
    <row r="2" spans="1:15">
      <c r="A2" s="2" t="s">
        <v>14</v>
      </c>
      <c r="B2" s="3" t="s">
        <v>137</v>
      </c>
      <c r="C2" s="4" t="s">
        <v>138</v>
      </c>
      <c r="D2" s="5">
        <v>44933</v>
      </c>
      <c r="E2" s="4" t="s">
        <v>139</v>
      </c>
      <c r="F2" s="4"/>
      <c r="G2" s="3" t="s">
        <v>140</v>
      </c>
      <c r="H2" s="6" t="s">
        <v>141</v>
      </c>
      <c r="I2" s="3" t="s">
        <v>142</v>
      </c>
      <c r="J2" s="3" t="s">
        <v>142</v>
      </c>
      <c r="K2" s="4" t="s">
        <v>143</v>
      </c>
      <c r="L2" s="4" t="s">
        <v>144</v>
      </c>
      <c r="M2" s="4" t="s">
        <v>145</v>
      </c>
      <c r="N2" s="16" t="s">
        <v>146</v>
      </c>
    </row>
    <row r="3" spans="1:15">
      <c r="A3" s="2" t="s">
        <v>20</v>
      </c>
      <c r="B3" s="3" t="s">
        <v>137</v>
      </c>
      <c r="C3" s="4" t="s">
        <v>138</v>
      </c>
      <c r="D3" s="5">
        <v>44933</v>
      </c>
      <c r="E3" s="4" t="s">
        <v>139</v>
      </c>
      <c r="F3" s="4"/>
      <c r="G3" s="3" t="s">
        <v>147</v>
      </c>
      <c r="H3" s="6" t="s">
        <v>141</v>
      </c>
      <c r="I3" s="3" t="s">
        <v>148</v>
      </c>
      <c r="J3" s="4" t="s">
        <v>149</v>
      </c>
      <c r="K3" s="4" t="s">
        <v>143</v>
      </c>
      <c r="L3" s="4" t="s">
        <v>144</v>
      </c>
      <c r="M3" s="4" t="s">
        <v>145</v>
      </c>
      <c r="N3" s="16" t="s">
        <v>150</v>
      </c>
    </row>
    <row r="4" spans="1:15">
      <c r="A4" s="2" t="s">
        <v>22</v>
      </c>
      <c r="B4" s="3" t="s">
        <v>137</v>
      </c>
      <c r="C4" s="4" t="s">
        <v>138</v>
      </c>
      <c r="D4" s="5">
        <v>44933</v>
      </c>
      <c r="E4" s="4" t="s">
        <v>139</v>
      </c>
      <c r="F4" s="4"/>
      <c r="G4" s="3" t="s">
        <v>147</v>
      </c>
      <c r="H4" s="6" t="s">
        <v>141</v>
      </c>
      <c r="I4" s="3" t="s">
        <v>148</v>
      </c>
      <c r="J4" s="4" t="s">
        <v>149</v>
      </c>
      <c r="K4" s="4" t="s">
        <v>143</v>
      </c>
      <c r="L4" s="4" t="s">
        <v>144</v>
      </c>
      <c r="M4" s="4" t="s">
        <v>145</v>
      </c>
      <c r="N4" s="16" t="s">
        <v>150</v>
      </c>
    </row>
    <row r="5" spans="1:15">
      <c r="A5" s="2" t="s">
        <v>23</v>
      </c>
      <c r="B5" s="3" t="s">
        <v>137</v>
      </c>
      <c r="C5" s="4" t="s">
        <v>138</v>
      </c>
      <c r="D5" s="5">
        <v>44933</v>
      </c>
      <c r="E5" s="4" t="s">
        <v>139</v>
      </c>
      <c r="F5" s="4"/>
      <c r="G5" s="3" t="s">
        <v>147</v>
      </c>
      <c r="H5" s="6" t="s">
        <v>141</v>
      </c>
      <c r="I5" s="3" t="s">
        <v>148</v>
      </c>
      <c r="J5" s="4" t="s">
        <v>149</v>
      </c>
      <c r="K5" s="4" t="s">
        <v>143</v>
      </c>
      <c r="L5" s="4" t="s">
        <v>144</v>
      </c>
      <c r="M5" s="4" t="s">
        <v>145</v>
      </c>
      <c r="N5" s="16" t="s">
        <v>150</v>
      </c>
    </row>
    <row r="6" spans="1:15">
      <c r="A6" s="2" t="s">
        <v>24</v>
      </c>
      <c r="B6" s="3" t="s">
        <v>137</v>
      </c>
      <c r="C6" s="4" t="s">
        <v>138</v>
      </c>
      <c r="D6" s="5">
        <v>44940</v>
      </c>
      <c r="E6" s="4" t="s">
        <v>139</v>
      </c>
      <c r="F6" s="4"/>
      <c r="G6" s="3" t="s">
        <v>151</v>
      </c>
      <c r="H6" s="6" t="s">
        <v>141</v>
      </c>
      <c r="I6" s="2" t="s">
        <v>152</v>
      </c>
      <c r="J6" s="2" t="s">
        <v>152</v>
      </c>
      <c r="K6" s="4" t="s">
        <v>143</v>
      </c>
      <c r="L6" s="4" t="s">
        <v>144</v>
      </c>
      <c r="M6" s="4" t="s">
        <v>145</v>
      </c>
      <c r="N6" t="s">
        <v>150</v>
      </c>
    </row>
    <row r="7" spans="1:15">
      <c r="A7" s="2" t="s">
        <v>25</v>
      </c>
      <c r="B7" s="3" t="s">
        <v>137</v>
      </c>
      <c r="C7" s="4" t="s">
        <v>138</v>
      </c>
      <c r="D7" s="5">
        <v>44965</v>
      </c>
      <c r="E7" s="4" t="s">
        <v>139</v>
      </c>
      <c r="F7" s="4"/>
      <c r="G7" s="7" t="s">
        <v>153</v>
      </c>
      <c r="H7" s="2" t="s">
        <v>141</v>
      </c>
      <c r="I7" s="7" t="s">
        <v>153</v>
      </c>
      <c r="J7" s="7" t="s">
        <v>153</v>
      </c>
      <c r="K7" s="4" t="s">
        <v>143</v>
      </c>
      <c r="L7" s="4" t="s">
        <v>144</v>
      </c>
      <c r="M7" s="4" t="s">
        <v>145</v>
      </c>
      <c r="N7" t="s">
        <v>146</v>
      </c>
    </row>
    <row r="8" spans="1:15">
      <c r="A8" s="2" t="s">
        <v>31</v>
      </c>
      <c r="B8" s="3" t="s">
        <v>137</v>
      </c>
      <c r="C8" s="4" t="s">
        <v>138</v>
      </c>
      <c r="D8" s="5">
        <v>44999</v>
      </c>
      <c r="E8" s="4" t="s">
        <v>139</v>
      </c>
      <c r="F8" s="4"/>
      <c r="G8" s="3" t="s">
        <v>147</v>
      </c>
      <c r="H8" s="6" t="s">
        <v>141</v>
      </c>
      <c r="I8" s="3" t="s">
        <v>148</v>
      </c>
      <c r="J8" s="4" t="s">
        <v>149</v>
      </c>
      <c r="K8" s="4" t="s">
        <v>143</v>
      </c>
      <c r="L8" s="4" t="s">
        <v>144</v>
      </c>
      <c r="M8" s="4" t="s">
        <v>145</v>
      </c>
      <c r="N8" s="16" t="s">
        <v>150</v>
      </c>
    </row>
    <row r="9" spans="1:15">
      <c r="A9" s="2" t="s">
        <v>32</v>
      </c>
      <c r="B9" s="3" t="s">
        <v>137</v>
      </c>
      <c r="C9" s="4" t="s">
        <v>138</v>
      </c>
      <c r="D9" s="5">
        <v>44999</v>
      </c>
      <c r="E9" s="4" t="s">
        <v>139</v>
      </c>
      <c r="F9" s="4"/>
      <c r="G9" s="3" t="s">
        <v>147</v>
      </c>
      <c r="H9" s="6" t="s">
        <v>141</v>
      </c>
      <c r="I9" s="3" t="s">
        <v>148</v>
      </c>
      <c r="J9" s="4" t="s">
        <v>149</v>
      </c>
      <c r="K9" s="4" t="s">
        <v>143</v>
      </c>
      <c r="L9" s="4" t="s">
        <v>144</v>
      </c>
      <c r="M9" s="4" t="s">
        <v>145</v>
      </c>
      <c r="N9" s="16" t="s">
        <v>150</v>
      </c>
    </row>
    <row r="10" spans="1:15">
      <c r="A10" s="2" t="s">
        <v>33</v>
      </c>
      <c r="B10" s="3" t="s">
        <v>137</v>
      </c>
      <c r="C10" s="4" t="s">
        <v>138</v>
      </c>
      <c r="D10" s="5">
        <v>45006</v>
      </c>
      <c r="E10" s="4" t="s">
        <v>139</v>
      </c>
      <c r="F10" s="4"/>
      <c r="G10" s="3" t="s">
        <v>140</v>
      </c>
      <c r="H10" s="6" t="s">
        <v>141</v>
      </c>
      <c r="I10" s="3" t="s">
        <v>142</v>
      </c>
      <c r="J10" s="4" t="s">
        <v>142</v>
      </c>
      <c r="K10" s="4" t="s">
        <v>143</v>
      </c>
      <c r="L10" s="4" t="s">
        <v>144</v>
      </c>
      <c r="M10" s="4" t="s">
        <v>145</v>
      </c>
      <c r="N10" t="s">
        <v>146</v>
      </c>
    </row>
    <row r="11" spans="1:15">
      <c r="A11" s="2" t="s">
        <v>36</v>
      </c>
      <c r="B11" s="3" t="s">
        <v>137</v>
      </c>
      <c r="C11" s="4" t="s">
        <v>138</v>
      </c>
      <c r="D11" s="5">
        <v>45013</v>
      </c>
      <c r="E11" s="4" t="s">
        <v>139</v>
      </c>
      <c r="F11" s="4"/>
      <c r="G11" s="3" t="s">
        <v>140</v>
      </c>
      <c r="H11" s="6" t="s">
        <v>141</v>
      </c>
      <c r="I11" s="3" t="s">
        <v>142</v>
      </c>
      <c r="J11" s="4" t="s">
        <v>142</v>
      </c>
      <c r="K11" s="4" t="s">
        <v>143</v>
      </c>
      <c r="L11" s="4" t="s">
        <v>144</v>
      </c>
      <c r="M11" s="4" t="s">
        <v>145</v>
      </c>
      <c r="N11" t="s">
        <v>146</v>
      </c>
    </row>
    <row r="12" spans="1:15">
      <c r="A12" s="2" t="s">
        <v>37</v>
      </c>
      <c r="B12" s="3" t="s">
        <v>137</v>
      </c>
      <c r="C12" s="4" t="s">
        <v>138</v>
      </c>
      <c r="D12" s="5">
        <v>45025</v>
      </c>
      <c r="E12" s="4" t="s">
        <v>139</v>
      </c>
      <c r="F12" s="4"/>
      <c r="G12" s="3" t="s">
        <v>147</v>
      </c>
      <c r="H12" s="6" t="s">
        <v>141</v>
      </c>
      <c r="I12" s="3" t="s">
        <v>148</v>
      </c>
      <c r="J12" s="4" t="s">
        <v>149</v>
      </c>
      <c r="K12" s="4" t="s">
        <v>143</v>
      </c>
      <c r="L12" s="4" t="s">
        <v>144</v>
      </c>
      <c r="M12" s="4" t="s">
        <v>145</v>
      </c>
      <c r="N12" s="16" t="s">
        <v>150</v>
      </c>
    </row>
    <row r="13" spans="1:15">
      <c r="A13" s="2" t="s">
        <v>38</v>
      </c>
      <c r="B13" s="3" t="s">
        <v>137</v>
      </c>
      <c r="C13" s="4" t="s">
        <v>138</v>
      </c>
      <c r="D13" s="5">
        <v>45025</v>
      </c>
      <c r="E13" s="4" t="s">
        <v>139</v>
      </c>
      <c r="F13" s="4"/>
      <c r="G13" s="3" t="s">
        <v>147</v>
      </c>
      <c r="H13" s="6" t="s">
        <v>141</v>
      </c>
      <c r="I13" s="3" t="s">
        <v>148</v>
      </c>
      <c r="J13" s="4" t="s">
        <v>149</v>
      </c>
      <c r="K13" s="4" t="s">
        <v>143</v>
      </c>
      <c r="L13" s="4" t="s">
        <v>144</v>
      </c>
      <c r="M13" s="4" t="s">
        <v>145</v>
      </c>
      <c r="N13" s="16" t="s">
        <v>150</v>
      </c>
    </row>
    <row r="14" spans="1:15">
      <c r="A14" s="2" t="s">
        <v>39</v>
      </c>
      <c r="B14" s="3" t="s">
        <v>137</v>
      </c>
      <c r="C14" s="4" t="s">
        <v>138</v>
      </c>
      <c r="D14" s="5">
        <v>45025</v>
      </c>
      <c r="E14" s="4" t="s">
        <v>139</v>
      </c>
      <c r="F14" s="4"/>
      <c r="G14" s="3" t="s">
        <v>147</v>
      </c>
      <c r="H14" s="6" t="s">
        <v>141</v>
      </c>
      <c r="I14" s="3" t="s">
        <v>148</v>
      </c>
      <c r="J14" s="4" t="s">
        <v>149</v>
      </c>
      <c r="K14" s="4" t="s">
        <v>143</v>
      </c>
      <c r="L14" s="4" t="s">
        <v>144</v>
      </c>
      <c r="M14" s="4" t="s">
        <v>145</v>
      </c>
      <c r="N14" s="16" t="s">
        <v>150</v>
      </c>
    </row>
    <row r="15" spans="1:15">
      <c r="A15" s="2" t="s">
        <v>43</v>
      </c>
      <c r="B15" s="3" t="s">
        <v>137</v>
      </c>
      <c r="C15" s="4" t="s">
        <v>138</v>
      </c>
      <c r="D15" s="5">
        <v>45030</v>
      </c>
      <c r="E15" s="4" t="s">
        <v>139</v>
      </c>
      <c r="F15" s="4"/>
      <c r="G15" s="3" t="s">
        <v>147</v>
      </c>
      <c r="H15" s="6" t="s">
        <v>141</v>
      </c>
      <c r="I15" s="3" t="s">
        <v>148</v>
      </c>
      <c r="J15" s="4" t="s">
        <v>149</v>
      </c>
      <c r="K15" s="4" t="s">
        <v>143</v>
      </c>
      <c r="L15" s="4" t="s">
        <v>144</v>
      </c>
      <c r="M15" s="4" t="s">
        <v>145</v>
      </c>
      <c r="N15" s="16" t="s">
        <v>150</v>
      </c>
    </row>
    <row r="16" spans="1:15">
      <c r="A16" s="2" t="s">
        <v>44</v>
      </c>
      <c r="B16" s="3" t="s">
        <v>137</v>
      </c>
      <c r="C16" s="4" t="s">
        <v>138</v>
      </c>
      <c r="D16" s="5">
        <v>45040</v>
      </c>
      <c r="E16" s="4" t="s">
        <v>139</v>
      </c>
      <c r="F16" s="4"/>
      <c r="G16" s="3" t="s">
        <v>140</v>
      </c>
      <c r="H16" s="6" t="s">
        <v>141</v>
      </c>
      <c r="I16" s="3" t="s">
        <v>142</v>
      </c>
      <c r="J16" s="4" t="s">
        <v>142</v>
      </c>
      <c r="K16" s="4" t="s">
        <v>143</v>
      </c>
      <c r="L16" s="4" t="s">
        <v>144</v>
      </c>
      <c r="M16" s="4" t="s">
        <v>145</v>
      </c>
      <c r="N16" t="s">
        <v>146</v>
      </c>
    </row>
    <row r="17" spans="1:14">
      <c r="A17" s="2" t="s">
        <v>47</v>
      </c>
      <c r="B17" s="3" t="s">
        <v>137</v>
      </c>
      <c r="C17" s="4" t="s">
        <v>138</v>
      </c>
      <c r="D17" s="5">
        <v>45040</v>
      </c>
      <c r="E17" s="4" t="s">
        <v>139</v>
      </c>
      <c r="F17" s="4"/>
      <c r="G17" s="3" t="s">
        <v>140</v>
      </c>
      <c r="H17" s="6" t="s">
        <v>141</v>
      </c>
      <c r="I17" s="3" t="s">
        <v>142</v>
      </c>
      <c r="J17" s="4" t="s">
        <v>142</v>
      </c>
      <c r="K17" s="4" t="s">
        <v>143</v>
      </c>
      <c r="L17" s="4" t="s">
        <v>144</v>
      </c>
      <c r="M17" s="4" t="s">
        <v>145</v>
      </c>
      <c r="N17" t="s">
        <v>146</v>
      </c>
    </row>
    <row r="18" spans="1:14">
      <c r="A18" s="2" t="s">
        <v>54</v>
      </c>
      <c r="B18" s="3" t="s">
        <v>137</v>
      </c>
      <c r="C18" s="4" t="s">
        <v>138</v>
      </c>
      <c r="D18" s="5">
        <v>45041</v>
      </c>
      <c r="E18" s="4" t="s">
        <v>139</v>
      </c>
      <c r="F18" s="4"/>
      <c r="G18" s="3" t="s">
        <v>140</v>
      </c>
      <c r="H18" s="6" t="s">
        <v>141</v>
      </c>
      <c r="I18" s="3" t="s">
        <v>142</v>
      </c>
      <c r="J18" s="4" t="s">
        <v>142</v>
      </c>
      <c r="K18" s="4" t="s">
        <v>143</v>
      </c>
      <c r="L18" s="4" t="s">
        <v>144</v>
      </c>
      <c r="M18" s="4" t="s">
        <v>145</v>
      </c>
      <c r="N18" t="s">
        <v>146</v>
      </c>
    </row>
    <row r="19" spans="1:14">
      <c r="A19" s="2" t="s">
        <v>55</v>
      </c>
      <c r="B19" s="3" t="s">
        <v>137</v>
      </c>
      <c r="C19" s="4" t="s">
        <v>138</v>
      </c>
      <c r="D19" s="5">
        <v>45041</v>
      </c>
      <c r="E19" s="4" t="s">
        <v>139</v>
      </c>
      <c r="F19" s="4"/>
      <c r="G19" s="3" t="s">
        <v>140</v>
      </c>
      <c r="H19" s="6" t="s">
        <v>141</v>
      </c>
      <c r="I19" s="3" t="s">
        <v>142</v>
      </c>
      <c r="J19" s="4" t="s">
        <v>142</v>
      </c>
      <c r="K19" s="4" t="s">
        <v>143</v>
      </c>
      <c r="L19" s="4" t="s">
        <v>144</v>
      </c>
      <c r="M19" s="4" t="s">
        <v>145</v>
      </c>
      <c r="N19" t="s">
        <v>146</v>
      </c>
    </row>
    <row r="20" spans="1:14">
      <c r="A20" s="2" t="s">
        <v>56</v>
      </c>
      <c r="B20" s="3" t="s">
        <v>137</v>
      </c>
      <c r="C20" s="4" t="s">
        <v>138</v>
      </c>
      <c r="D20" s="5">
        <v>45052</v>
      </c>
      <c r="E20" s="4" t="s">
        <v>139</v>
      </c>
      <c r="F20" s="4"/>
      <c r="G20" s="3" t="s">
        <v>140</v>
      </c>
      <c r="H20" s="6" t="s">
        <v>141</v>
      </c>
      <c r="I20" s="3" t="s">
        <v>142</v>
      </c>
      <c r="J20" s="4" t="s">
        <v>142</v>
      </c>
      <c r="K20" s="4" t="s">
        <v>143</v>
      </c>
      <c r="L20" s="4" t="s">
        <v>144</v>
      </c>
      <c r="M20" s="4" t="s">
        <v>145</v>
      </c>
      <c r="N20" t="s">
        <v>146</v>
      </c>
    </row>
    <row r="21" spans="1:14">
      <c r="A21" s="2" t="s">
        <v>57</v>
      </c>
      <c r="B21" s="3" t="s">
        <v>137</v>
      </c>
      <c r="C21" s="4" t="s">
        <v>138</v>
      </c>
      <c r="D21" s="8">
        <v>45036</v>
      </c>
      <c r="E21" s="4" t="s">
        <v>139</v>
      </c>
      <c r="F21" s="4"/>
      <c r="G21" s="2" t="s">
        <v>153</v>
      </c>
      <c r="H21" s="2" t="s">
        <v>153</v>
      </c>
      <c r="I21" s="2" t="s">
        <v>153</v>
      </c>
      <c r="J21" s="2" t="s">
        <v>153</v>
      </c>
      <c r="K21" s="4" t="s">
        <v>143</v>
      </c>
      <c r="L21" s="4" t="s">
        <v>144</v>
      </c>
      <c r="M21" s="4" t="s">
        <v>145</v>
      </c>
      <c r="N21" t="s">
        <v>146</v>
      </c>
    </row>
    <row r="22" spans="1:14">
      <c r="A22" s="2" t="s">
        <v>59</v>
      </c>
      <c r="B22" s="3" t="s">
        <v>137</v>
      </c>
      <c r="C22" s="4" t="s">
        <v>138</v>
      </c>
      <c r="D22" s="5">
        <v>45054</v>
      </c>
      <c r="E22" s="4" t="s">
        <v>139</v>
      </c>
      <c r="F22" s="4"/>
      <c r="G22" s="3" t="s">
        <v>140</v>
      </c>
      <c r="H22" s="6" t="s">
        <v>141</v>
      </c>
      <c r="I22" s="3" t="s">
        <v>142</v>
      </c>
      <c r="J22" s="4" t="s">
        <v>142</v>
      </c>
      <c r="K22" s="4" t="s">
        <v>143</v>
      </c>
      <c r="L22" s="4" t="s">
        <v>144</v>
      </c>
      <c r="M22" s="4" t="s">
        <v>145</v>
      </c>
      <c r="N22" t="s">
        <v>146</v>
      </c>
    </row>
    <row r="23" spans="1:14">
      <c r="A23" s="2" t="s">
        <v>60</v>
      </c>
      <c r="B23" s="3" t="s">
        <v>137</v>
      </c>
      <c r="C23" s="4" t="s">
        <v>138</v>
      </c>
      <c r="D23" s="5">
        <v>45054</v>
      </c>
      <c r="E23" s="4" t="s">
        <v>139</v>
      </c>
      <c r="F23" s="4"/>
      <c r="G23" s="3" t="s">
        <v>140</v>
      </c>
      <c r="H23" s="6" t="s">
        <v>141</v>
      </c>
      <c r="I23" s="3" t="s">
        <v>142</v>
      </c>
      <c r="J23" s="4" t="s">
        <v>142</v>
      </c>
      <c r="K23" s="4" t="s">
        <v>143</v>
      </c>
      <c r="L23" s="4" t="s">
        <v>144</v>
      </c>
      <c r="M23" s="4" t="s">
        <v>145</v>
      </c>
      <c r="N23" t="s">
        <v>146</v>
      </c>
    </row>
    <row r="24" spans="1:14">
      <c r="A24" s="2" t="s">
        <v>61</v>
      </c>
      <c r="B24" s="3" t="s">
        <v>137</v>
      </c>
      <c r="C24" s="4" t="s">
        <v>138</v>
      </c>
      <c r="D24" s="5">
        <v>45073</v>
      </c>
      <c r="E24" s="4" t="s">
        <v>139</v>
      </c>
      <c r="F24" s="4"/>
      <c r="G24" s="3" t="s">
        <v>147</v>
      </c>
      <c r="H24" s="6" t="s">
        <v>141</v>
      </c>
      <c r="I24" s="3" t="s">
        <v>148</v>
      </c>
      <c r="J24" s="4" t="s">
        <v>149</v>
      </c>
      <c r="K24" s="4" t="s">
        <v>143</v>
      </c>
      <c r="L24" s="4" t="s">
        <v>144</v>
      </c>
      <c r="M24" s="4" t="s">
        <v>145</v>
      </c>
      <c r="N24" s="16" t="s">
        <v>150</v>
      </c>
    </row>
    <row r="25" spans="1:14">
      <c r="A25" s="2" t="s">
        <v>62</v>
      </c>
      <c r="B25" s="3" t="s">
        <v>137</v>
      </c>
      <c r="C25" s="4" t="s">
        <v>138</v>
      </c>
      <c r="D25" s="5">
        <v>45073</v>
      </c>
      <c r="E25" s="4" t="s">
        <v>139</v>
      </c>
      <c r="F25" s="4"/>
      <c r="G25" s="3" t="s">
        <v>147</v>
      </c>
      <c r="H25" s="6" t="s">
        <v>141</v>
      </c>
      <c r="I25" s="3" t="s">
        <v>148</v>
      </c>
      <c r="J25" s="4" t="s">
        <v>149</v>
      </c>
      <c r="K25" s="4" t="s">
        <v>143</v>
      </c>
      <c r="L25" s="4" t="s">
        <v>144</v>
      </c>
      <c r="M25" s="4" t="s">
        <v>145</v>
      </c>
      <c r="N25" s="16" t="s">
        <v>150</v>
      </c>
    </row>
    <row r="26" spans="1:14">
      <c r="A26" s="2" t="s">
        <v>63</v>
      </c>
      <c r="B26" s="3" t="s">
        <v>137</v>
      </c>
      <c r="C26" s="4" t="s">
        <v>138</v>
      </c>
      <c r="D26" s="5">
        <v>45098</v>
      </c>
      <c r="E26" s="4" t="s">
        <v>139</v>
      </c>
      <c r="F26" s="4"/>
      <c r="G26" s="3" t="s">
        <v>147</v>
      </c>
      <c r="H26" s="6" t="s">
        <v>141</v>
      </c>
      <c r="I26" s="2" t="s">
        <v>148</v>
      </c>
      <c r="J26" s="4" t="s">
        <v>149</v>
      </c>
      <c r="K26" s="4" t="s">
        <v>143</v>
      </c>
      <c r="L26" s="4" t="s">
        <v>144</v>
      </c>
      <c r="M26" s="4" t="s">
        <v>145</v>
      </c>
      <c r="N26" s="16" t="s">
        <v>150</v>
      </c>
    </row>
    <row r="27" spans="1:14">
      <c r="A27" s="2" t="s">
        <v>64</v>
      </c>
      <c r="B27" s="3" t="s">
        <v>137</v>
      </c>
      <c r="C27" s="4" t="s">
        <v>138</v>
      </c>
      <c r="D27" s="5">
        <v>45104</v>
      </c>
      <c r="E27" s="4" t="s">
        <v>139</v>
      </c>
      <c r="F27" s="4"/>
      <c r="G27" s="3" t="s">
        <v>151</v>
      </c>
      <c r="H27" s="6" t="s">
        <v>141</v>
      </c>
      <c r="I27" s="2" t="s">
        <v>152</v>
      </c>
      <c r="J27" s="2" t="s">
        <v>152</v>
      </c>
      <c r="K27" s="4" t="s">
        <v>143</v>
      </c>
      <c r="L27" s="4" t="s">
        <v>144</v>
      </c>
      <c r="M27" s="4" t="s">
        <v>145</v>
      </c>
      <c r="N27" s="16" t="s">
        <v>150</v>
      </c>
    </row>
    <row r="28" spans="1:14">
      <c r="A28" s="2" t="s">
        <v>65</v>
      </c>
      <c r="B28" s="3" t="s">
        <v>137</v>
      </c>
      <c r="C28" s="4" t="s">
        <v>138</v>
      </c>
      <c r="D28" s="5">
        <v>45115</v>
      </c>
      <c r="E28" s="4" t="s">
        <v>139</v>
      </c>
      <c r="F28" s="4"/>
      <c r="G28" s="7" t="s">
        <v>154</v>
      </c>
      <c r="H28" s="7" t="s">
        <v>141</v>
      </c>
      <c r="I28" s="7" t="s">
        <v>155</v>
      </c>
      <c r="J28" s="7" t="s">
        <v>155</v>
      </c>
      <c r="K28" s="4" t="s">
        <v>143</v>
      </c>
      <c r="L28" s="4" t="s">
        <v>144</v>
      </c>
      <c r="M28" s="4" t="s">
        <v>145</v>
      </c>
      <c r="N28" t="s">
        <v>146</v>
      </c>
    </row>
    <row r="29" spans="1:14">
      <c r="A29" s="2" t="s">
        <v>66</v>
      </c>
      <c r="B29" s="3" t="s">
        <v>137</v>
      </c>
      <c r="C29" s="4" t="s">
        <v>138</v>
      </c>
      <c r="D29" s="5">
        <v>45110</v>
      </c>
      <c r="E29" s="4" t="s">
        <v>139</v>
      </c>
      <c r="F29" s="4"/>
      <c r="G29" s="3" t="s">
        <v>147</v>
      </c>
      <c r="H29" s="6" t="s">
        <v>141</v>
      </c>
      <c r="I29" s="3" t="s">
        <v>148</v>
      </c>
      <c r="J29" s="4" t="s">
        <v>149</v>
      </c>
      <c r="K29" s="4" t="s">
        <v>143</v>
      </c>
      <c r="L29" s="4" t="s">
        <v>144</v>
      </c>
      <c r="M29" s="4" t="s">
        <v>145</v>
      </c>
      <c r="N29" s="16" t="s">
        <v>150</v>
      </c>
    </row>
    <row r="30" spans="1:14">
      <c r="A30" s="2" t="s">
        <v>67</v>
      </c>
      <c r="B30" s="3" t="s">
        <v>137</v>
      </c>
      <c r="C30" s="4" t="s">
        <v>138</v>
      </c>
      <c r="D30" s="5">
        <v>45110</v>
      </c>
      <c r="E30" s="4" t="s">
        <v>139</v>
      </c>
      <c r="F30" s="4"/>
      <c r="G30" s="3" t="s">
        <v>147</v>
      </c>
      <c r="H30" s="6" t="s">
        <v>141</v>
      </c>
      <c r="I30" s="3" t="s">
        <v>148</v>
      </c>
      <c r="J30" s="4" t="s">
        <v>149</v>
      </c>
      <c r="K30" s="4" t="s">
        <v>143</v>
      </c>
      <c r="L30" s="4" t="s">
        <v>144</v>
      </c>
      <c r="M30" s="4" t="s">
        <v>145</v>
      </c>
      <c r="N30" s="16" t="s">
        <v>150</v>
      </c>
    </row>
    <row r="31" spans="1:14">
      <c r="A31" s="2" t="s">
        <v>68</v>
      </c>
      <c r="B31" s="3" t="s">
        <v>137</v>
      </c>
      <c r="C31" s="4" t="s">
        <v>138</v>
      </c>
      <c r="D31" s="5">
        <v>45118</v>
      </c>
      <c r="E31" s="4" t="s">
        <v>139</v>
      </c>
      <c r="F31" s="4"/>
      <c r="G31" s="7" t="s">
        <v>154</v>
      </c>
      <c r="H31" s="7" t="s">
        <v>141</v>
      </c>
      <c r="I31" s="7" t="s">
        <v>155</v>
      </c>
      <c r="J31" s="7" t="s">
        <v>155</v>
      </c>
      <c r="K31" s="4" t="s">
        <v>143</v>
      </c>
      <c r="L31" s="4" t="s">
        <v>144</v>
      </c>
      <c r="M31" s="4" t="s">
        <v>145</v>
      </c>
      <c r="N31" t="s">
        <v>146</v>
      </c>
    </row>
    <row r="32" spans="1:14">
      <c r="A32" s="2" t="s">
        <v>69</v>
      </c>
      <c r="B32" s="3" t="s">
        <v>137</v>
      </c>
      <c r="C32" s="4" t="s">
        <v>138</v>
      </c>
      <c r="D32" s="5">
        <v>45119</v>
      </c>
      <c r="E32" s="4" t="s">
        <v>139</v>
      </c>
      <c r="F32" s="4"/>
      <c r="G32" s="7" t="s">
        <v>154</v>
      </c>
      <c r="H32" s="7" t="s">
        <v>141</v>
      </c>
      <c r="I32" s="7" t="s">
        <v>155</v>
      </c>
      <c r="J32" s="7" t="s">
        <v>155</v>
      </c>
      <c r="K32" s="4" t="s">
        <v>143</v>
      </c>
      <c r="L32" s="4" t="s">
        <v>144</v>
      </c>
      <c r="M32" s="4" t="s">
        <v>145</v>
      </c>
      <c r="N32" t="s">
        <v>146</v>
      </c>
    </row>
    <row r="33" spans="1:14">
      <c r="A33" s="2" t="s">
        <v>72</v>
      </c>
      <c r="B33" s="3" t="s">
        <v>137</v>
      </c>
      <c r="C33" s="4" t="s">
        <v>138</v>
      </c>
      <c r="D33" s="5">
        <v>45140</v>
      </c>
      <c r="E33" s="4" t="s">
        <v>139</v>
      </c>
      <c r="F33" s="4"/>
      <c r="G33" s="6" t="s">
        <v>156</v>
      </c>
      <c r="H33" s="7" t="s">
        <v>141</v>
      </c>
      <c r="I33" s="2" t="s">
        <v>157</v>
      </c>
      <c r="J33" s="2" t="s">
        <v>157</v>
      </c>
      <c r="K33" s="4" t="s">
        <v>143</v>
      </c>
      <c r="L33" s="4" t="s">
        <v>144</v>
      </c>
      <c r="M33" s="4" t="s">
        <v>145</v>
      </c>
      <c r="N33" t="s">
        <v>158</v>
      </c>
    </row>
    <row r="34" spans="1:14">
      <c r="A34" s="2" t="s">
        <v>87</v>
      </c>
      <c r="B34" s="3" t="s">
        <v>137</v>
      </c>
      <c r="C34" s="4" t="s">
        <v>138</v>
      </c>
      <c r="D34" s="8">
        <v>45140</v>
      </c>
      <c r="E34" s="4" t="s">
        <v>139</v>
      </c>
      <c r="F34" s="4"/>
      <c r="G34" s="6" t="s">
        <v>156</v>
      </c>
      <c r="H34" s="7" t="s">
        <v>141</v>
      </c>
      <c r="I34" s="2" t="s">
        <v>157</v>
      </c>
      <c r="J34" s="2" t="s">
        <v>157</v>
      </c>
      <c r="K34" s="4" t="s">
        <v>143</v>
      </c>
      <c r="L34" s="4" t="s">
        <v>144</v>
      </c>
      <c r="M34" s="4" t="s">
        <v>145</v>
      </c>
      <c r="N34" t="s">
        <v>158</v>
      </c>
    </row>
    <row r="35" spans="1:14">
      <c r="A35" s="2" t="s">
        <v>92</v>
      </c>
      <c r="B35" s="3" t="s">
        <v>137</v>
      </c>
      <c r="C35" s="4" t="s">
        <v>138</v>
      </c>
      <c r="D35" s="8">
        <v>45137</v>
      </c>
      <c r="E35" s="4" t="s">
        <v>139</v>
      </c>
      <c r="F35" s="4"/>
      <c r="G35" s="3" t="s">
        <v>140</v>
      </c>
      <c r="H35" s="6" t="s">
        <v>141</v>
      </c>
      <c r="I35" s="3" t="s">
        <v>142</v>
      </c>
      <c r="J35" s="4" t="s">
        <v>142</v>
      </c>
      <c r="K35" s="4" t="s">
        <v>143</v>
      </c>
      <c r="L35" s="4" t="s">
        <v>144</v>
      </c>
      <c r="M35" s="4" t="s">
        <v>145</v>
      </c>
      <c r="N35" t="s">
        <v>146</v>
      </c>
    </row>
    <row r="36" spans="1:14">
      <c r="A36" s="2" t="s">
        <v>93</v>
      </c>
      <c r="B36" s="3" t="s">
        <v>137</v>
      </c>
      <c r="C36" s="4" t="s">
        <v>138</v>
      </c>
      <c r="D36" s="5">
        <v>45146</v>
      </c>
      <c r="E36" s="4" t="s">
        <v>139</v>
      </c>
      <c r="F36" s="4"/>
      <c r="G36" s="3" t="s">
        <v>140</v>
      </c>
      <c r="H36" s="6" t="s">
        <v>141</v>
      </c>
      <c r="I36" s="3" t="s">
        <v>142</v>
      </c>
      <c r="J36" s="4" t="s">
        <v>142</v>
      </c>
      <c r="K36" s="4" t="s">
        <v>143</v>
      </c>
      <c r="L36" s="4" t="s">
        <v>144</v>
      </c>
      <c r="M36" s="4" t="s">
        <v>145</v>
      </c>
      <c r="N36" t="s">
        <v>146</v>
      </c>
    </row>
    <row r="37" spans="1:14">
      <c r="A37" s="2" t="s">
        <v>94</v>
      </c>
      <c r="B37" s="3" t="s">
        <v>137</v>
      </c>
      <c r="C37" s="4" t="s">
        <v>138</v>
      </c>
      <c r="D37" s="5">
        <v>45156</v>
      </c>
      <c r="E37" s="4" t="s">
        <v>139</v>
      </c>
      <c r="F37" s="4"/>
      <c r="G37" s="2" t="s">
        <v>159</v>
      </c>
      <c r="H37" s="7" t="s">
        <v>141</v>
      </c>
      <c r="I37" s="2" t="s">
        <v>160</v>
      </c>
      <c r="J37" s="2" t="s">
        <v>160</v>
      </c>
      <c r="K37" s="4" t="s">
        <v>143</v>
      </c>
      <c r="L37" s="4" t="s">
        <v>144</v>
      </c>
      <c r="M37" s="4" t="s">
        <v>145</v>
      </c>
      <c r="N37" t="s">
        <v>146</v>
      </c>
    </row>
    <row r="38" spans="1:14">
      <c r="A38" s="9" t="s">
        <v>102</v>
      </c>
      <c r="B38" s="3" t="s">
        <v>137</v>
      </c>
      <c r="C38" s="4" t="s">
        <v>138</v>
      </c>
      <c r="D38" s="8">
        <v>45163</v>
      </c>
      <c r="E38" s="4" t="s">
        <v>139</v>
      </c>
      <c r="F38" s="4"/>
      <c r="G38" s="3" t="s">
        <v>147</v>
      </c>
      <c r="H38" s="6" t="s">
        <v>141</v>
      </c>
      <c r="I38" s="3" t="s">
        <v>148</v>
      </c>
      <c r="J38" s="4" t="s">
        <v>149</v>
      </c>
      <c r="K38" s="4" t="s">
        <v>143</v>
      </c>
      <c r="L38" s="4" t="s">
        <v>144</v>
      </c>
      <c r="M38" s="4" t="s">
        <v>145</v>
      </c>
      <c r="N38" s="16" t="s">
        <v>150</v>
      </c>
    </row>
    <row r="39" spans="1:14">
      <c r="A39" s="2" t="s">
        <v>103</v>
      </c>
      <c r="B39" s="3" t="s">
        <v>137</v>
      </c>
      <c r="C39" s="4" t="s">
        <v>138</v>
      </c>
      <c r="D39" s="8">
        <v>45166</v>
      </c>
      <c r="E39" s="4" t="s">
        <v>139</v>
      </c>
      <c r="F39" s="4"/>
      <c r="G39" s="3" t="s">
        <v>147</v>
      </c>
      <c r="H39" s="6" t="s">
        <v>141</v>
      </c>
      <c r="I39" s="3" t="s">
        <v>148</v>
      </c>
      <c r="J39" s="4" t="s">
        <v>149</v>
      </c>
      <c r="K39" s="4" t="s">
        <v>143</v>
      </c>
      <c r="L39" s="4" t="s">
        <v>144</v>
      </c>
      <c r="M39" s="4" t="s">
        <v>145</v>
      </c>
      <c r="N39" s="16" t="s">
        <v>150</v>
      </c>
    </row>
    <row r="40" spans="1:14">
      <c r="A40" s="7" t="s">
        <v>104</v>
      </c>
      <c r="B40" s="3" t="s">
        <v>137</v>
      </c>
      <c r="C40" s="4" t="s">
        <v>138</v>
      </c>
      <c r="D40" s="5">
        <v>45177</v>
      </c>
      <c r="E40" s="4" t="s">
        <v>139</v>
      </c>
      <c r="F40" s="4"/>
      <c r="G40" s="7" t="s">
        <v>154</v>
      </c>
      <c r="H40" s="7" t="s">
        <v>141</v>
      </c>
      <c r="I40" s="7" t="s">
        <v>155</v>
      </c>
      <c r="J40" s="7" t="s">
        <v>155</v>
      </c>
      <c r="K40" s="4" t="s">
        <v>143</v>
      </c>
      <c r="L40" s="4" t="s">
        <v>144</v>
      </c>
      <c r="M40" s="4" t="s">
        <v>145</v>
      </c>
      <c r="N40" t="s">
        <v>146</v>
      </c>
    </row>
    <row r="41" spans="1:14">
      <c r="A41" s="9" t="s">
        <v>105</v>
      </c>
      <c r="B41" s="3" t="s">
        <v>137</v>
      </c>
      <c r="C41" s="4" t="s">
        <v>138</v>
      </c>
      <c r="D41" s="5">
        <v>45171</v>
      </c>
      <c r="E41" s="4" t="s">
        <v>139</v>
      </c>
      <c r="F41" s="4"/>
      <c r="G41" s="7" t="s">
        <v>154</v>
      </c>
      <c r="H41" s="7" t="s">
        <v>141</v>
      </c>
      <c r="I41" s="7" t="s">
        <v>155</v>
      </c>
      <c r="J41" s="7" t="s">
        <v>155</v>
      </c>
      <c r="K41" s="4" t="s">
        <v>143</v>
      </c>
      <c r="L41" s="4" t="s">
        <v>144</v>
      </c>
      <c r="M41" s="4" t="s">
        <v>145</v>
      </c>
      <c r="N41" t="s">
        <v>146</v>
      </c>
    </row>
    <row r="42" spans="1:14">
      <c r="A42" s="10" t="s">
        <v>106</v>
      </c>
      <c r="B42" s="3" t="s">
        <v>137</v>
      </c>
      <c r="C42" s="4" t="s">
        <v>138</v>
      </c>
      <c r="D42" s="11">
        <v>45178</v>
      </c>
      <c r="E42" s="4" t="s">
        <v>139</v>
      </c>
      <c r="F42" s="4"/>
      <c r="G42" s="3" t="s">
        <v>140</v>
      </c>
      <c r="H42" s="9" t="s">
        <v>141</v>
      </c>
      <c r="I42" s="10" t="s">
        <v>142</v>
      </c>
      <c r="J42" s="4" t="s">
        <v>142</v>
      </c>
      <c r="K42" s="4" t="s">
        <v>143</v>
      </c>
      <c r="L42" s="4" t="s">
        <v>144</v>
      </c>
      <c r="M42" s="4" t="s">
        <v>145</v>
      </c>
      <c r="N42" t="s">
        <v>146</v>
      </c>
    </row>
    <row r="43" spans="1:14">
      <c r="A43" s="10" t="s">
        <v>107</v>
      </c>
      <c r="B43" s="3" t="s">
        <v>137</v>
      </c>
      <c r="C43" s="4" t="s">
        <v>138</v>
      </c>
      <c r="D43" s="11">
        <v>45179</v>
      </c>
      <c r="E43" s="4" t="s">
        <v>139</v>
      </c>
      <c r="F43" s="4"/>
      <c r="G43" s="3" t="s">
        <v>147</v>
      </c>
      <c r="H43" s="6" t="s">
        <v>141</v>
      </c>
      <c r="I43" s="3" t="s">
        <v>148</v>
      </c>
      <c r="J43" s="4" t="s">
        <v>149</v>
      </c>
      <c r="K43" s="4" t="s">
        <v>143</v>
      </c>
      <c r="L43" s="4" t="s">
        <v>144</v>
      </c>
      <c r="M43" s="4" t="s">
        <v>145</v>
      </c>
      <c r="N43" s="16" t="s">
        <v>150</v>
      </c>
    </row>
    <row r="44" spans="1:14">
      <c r="A44" s="10" t="s">
        <v>110</v>
      </c>
      <c r="B44" s="3" t="s">
        <v>137</v>
      </c>
      <c r="C44" s="4" t="s">
        <v>138</v>
      </c>
      <c r="D44" s="11">
        <v>45193</v>
      </c>
      <c r="E44" s="4" t="s">
        <v>139</v>
      </c>
      <c r="F44" s="4"/>
      <c r="G44" s="3" t="s">
        <v>151</v>
      </c>
      <c r="H44" s="6" t="s">
        <v>141</v>
      </c>
      <c r="I44" s="2" t="s">
        <v>152</v>
      </c>
      <c r="J44" s="2" t="s">
        <v>152</v>
      </c>
      <c r="K44" s="4" t="s">
        <v>143</v>
      </c>
      <c r="L44" s="4" t="s">
        <v>144</v>
      </c>
      <c r="M44" s="4" t="s">
        <v>145</v>
      </c>
      <c r="N44" s="16" t="s">
        <v>150</v>
      </c>
    </row>
    <row r="45" spans="1:14">
      <c r="A45" s="12" t="s">
        <v>116</v>
      </c>
      <c r="B45" s="3" t="s">
        <v>137</v>
      </c>
      <c r="C45" s="4" t="s">
        <v>138</v>
      </c>
      <c r="D45" s="13">
        <v>45202</v>
      </c>
      <c r="E45" s="4" t="s">
        <v>139</v>
      </c>
      <c r="F45" s="4"/>
      <c r="G45" s="3" t="s">
        <v>140</v>
      </c>
      <c r="H45" s="9" t="s">
        <v>141</v>
      </c>
      <c r="I45" s="10" t="s">
        <v>142</v>
      </c>
      <c r="J45" s="4" t="s">
        <v>142</v>
      </c>
      <c r="K45" s="4" t="s">
        <v>143</v>
      </c>
      <c r="L45" s="4" t="s">
        <v>144</v>
      </c>
      <c r="M45" s="4" t="s">
        <v>145</v>
      </c>
      <c r="N45" t="s">
        <v>146</v>
      </c>
    </row>
    <row r="46" spans="1:14">
      <c r="A46" s="10" t="s">
        <v>118</v>
      </c>
      <c r="B46" s="3" t="s">
        <v>137</v>
      </c>
      <c r="C46" s="4" t="s">
        <v>138</v>
      </c>
      <c r="D46" s="14">
        <v>45208</v>
      </c>
      <c r="E46" s="4" t="s">
        <v>139</v>
      </c>
      <c r="F46" s="4"/>
      <c r="G46" s="3" t="s">
        <v>140</v>
      </c>
      <c r="H46" s="9" t="s">
        <v>141</v>
      </c>
      <c r="I46" s="10" t="s">
        <v>142</v>
      </c>
      <c r="J46" s="4" t="s">
        <v>142</v>
      </c>
      <c r="K46" s="4" t="s">
        <v>143</v>
      </c>
      <c r="L46" s="4" t="s">
        <v>144</v>
      </c>
      <c r="M46" s="4" t="s">
        <v>145</v>
      </c>
      <c r="N46" s="16" t="s">
        <v>150</v>
      </c>
    </row>
    <row r="47" spans="1:14">
      <c r="A47" s="12" t="s">
        <v>120</v>
      </c>
      <c r="B47" s="3" t="s">
        <v>137</v>
      </c>
      <c r="C47" s="4" t="s">
        <v>138</v>
      </c>
      <c r="D47" s="11">
        <v>45201</v>
      </c>
      <c r="E47" s="4" t="s">
        <v>139</v>
      </c>
      <c r="F47" s="4"/>
      <c r="G47" s="3" t="s">
        <v>147</v>
      </c>
      <c r="H47" s="6" t="s">
        <v>141</v>
      </c>
      <c r="I47" s="3" t="s">
        <v>148</v>
      </c>
      <c r="J47" s="4" t="s">
        <v>149</v>
      </c>
      <c r="K47" s="4" t="s">
        <v>143</v>
      </c>
      <c r="L47" s="4" t="s">
        <v>144</v>
      </c>
      <c r="M47" s="4" t="s">
        <v>145</v>
      </c>
      <c r="N47" s="16" t="s">
        <v>150</v>
      </c>
    </row>
    <row r="48" spans="1:14">
      <c r="A48" s="12" t="s">
        <v>121</v>
      </c>
      <c r="B48" s="3" t="s">
        <v>137</v>
      </c>
      <c r="C48" s="4" t="s">
        <v>138</v>
      </c>
      <c r="D48" s="14">
        <v>45211</v>
      </c>
      <c r="E48" s="4" t="s">
        <v>139</v>
      </c>
      <c r="F48" s="4"/>
      <c r="G48" s="3" t="s">
        <v>140</v>
      </c>
      <c r="H48" s="9" t="s">
        <v>141</v>
      </c>
      <c r="I48" s="10" t="s">
        <v>142</v>
      </c>
      <c r="J48" s="4" t="s">
        <v>142</v>
      </c>
      <c r="K48" s="4" t="s">
        <v>143</v>
      </c>
      <c r="L48" s="4" t="s">
        <v>144</v>
      </c>
      <c r="M48" s="4" t="s">
        <v>145</v>
      </c>
      <c r="N48" t="s">
        <v>146</v>
      </c>
    </row>
  </sheetData>
  <autoFilter ref="A1:O48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workbookViewId="0">
      <pane ySplit="1" topLeftCell="A2" activePane="bottomLeft" state="frozen"/>
      <selection pane="bottomLeft" activeCell="B53" sqref="B53"/>
    </sheetView>
  </sheetViews>
  <sheetFormatPr defaultColWidth="9" defaultRowHeight="15"/>
  <cols>
    <col min="1" max="1" width="16.140625" customWidth="1"/>
    <col min="2" max="4" width="23.42578125" customWidth="1"/>
    <col min="5" max="5" width="14.42578125" customWidth="1"/>
    <col min="6" max="6" width="23.42578125" customWidth="1"/>
    <col min="7" max="7" width="5" customWidth="1"/>
    <col min="8" max="8" width="7.42578125" customWidth="1"/>
    <col min="9" max="9" width="6.5703125" customWidth="1"/>
    <col min="10" max="10" width="8.7109375" customWidth="1"/>
    <col min="11" max="11" width="8.85546875" customWidth="1"/>
    <col min="12" max="12" width="6" customWidth="1"/>
    <col min="13" max="13" width="7.42578125" customWidth="1"/>
    <col min="14" max="14" width="9.5703125" customWidth="1"/>
    <col min="15" max="15" width="7.85546875" customWidth="1"/>
  </cols>
  <sheetData>
    <row r="1" spans="1:14" s="17" customForma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1" t="s">
        <v>12</v>
      </c>
      <c r="N1" s="19" t="s">
        <v>13</v>
      </c>
    </row>
    <row r="2" spans="1:14">
      <c r="A2" s="2" t="s">
        <v>14</v>
      </c>
      <c r="B2" s="4" t="s">
        <v>15</v>
      </c>
      <c r="C2" s="4" t="s">
        <v>16</v>
      </c>
      <c r="D2" s="4" t="s">
        <v>17</v>
      </c>
      <c r="E2" s="4"/>
      <c r="F2" s="4" t="s">
        <v>18</v>
      </c>
      <c r="G2" s="4"/>
      <c r="H2" s="4"/>
      <c r="I2" s="4"/>
      <c r="J2" s="4" t="s">
        <v>19</v>
      </c>
      <c r="K2" s="4"/>
      <c r="L2" s="4"/>
      <c r="M2" s="4">
        <f>30798.94/N2</f>
        <v>1.01</v>
      </c>
      <c r="N2" s="4">
        <v>30494</v>
      </c>
    </row>
    <row r="3" spans="1:14">
      <c r="A3" s="2" t="s">
        <v>20</v>
      </c>
      <c r="B3" s="4" t="s">
        <v>15</v>
      </c>
      <c r="C3" s="4" t="s">
        <v>21</v>
      </c>
      <c r="D3" s="4" t="s">
        <v>17</v>
      </c>
      <c r="E3" s="4"/>
      <c r="F3" s="4" t="s">
        <v>18</v>
      </c>
      <c r="G3" s="4"/>
      <c r="H3" s="4"/>
      <c r="I3" s="4"/>
      <c r="J3" s="4" t="s">
        <v>19</v>
      </c>
      <c r="K3" s="4"/>
      <c r="L3" s="4"/>
      <c r="M3" s="4">
        <f>30561.6/N3</f>
        <v>0.96</v>
      </c>
      <c r="N3" s="4">
        <v>31835</v>
      </c>
    </row>
    <row r="4" spans="1:14">
      <c r="A4" s="2" t="s">
        <v>22</v>
      </c>
      <c r="B4" s="4" t="s">
        <v>15</v>
      </c>
      <c r="C4" s="4" t="s">
        <v>21</v>
      </c>
      <c r="D4" s="4" t="s">
        <v>17</v>
      </c>
      <c r="E4" s="4"/>
      <c r="F4" s="4" t="s">
        <v>18</v>
      </c>
      <c r="G4" s="4"/>
      <c r="H4" s="4"/>
      <c r="I4" s="4"/>
      <c r="J4" s="4" t="s">
        <v>19</v>
      </c>
      <c r="K4" s="4"/>
      <c r="L4" s="4"/>
      <c r="M4" s="22">
        <v>0.96</v>
      </c>
      <c r="N4" s="4">
        <v>31774</v>
      </c>
    </row>
    <row r="5" spans="1:14">
      <c r="A5" s="2" t="s">
        <v>23</v>
      </c>
      <c r="B5" s="4" t="s">
        <v>15</v>
      </c>
      <c r="C5" s="4" t="s">
        <v>21</v>
      </c>
      <c r="D5" s="4" t="s">
        <v>17</v>
      </c>
      <c r="E5" s="4"/>
      <c r="F5" s="4" t="s">
        <v>18</v>
      </c>
      <c r="G5" s="4"/>
      <c r="H5" s="4"/>
      <c r="I5" s="4"/>
      <c r="J5" s="4" t="s">
        <v>19</v>
      </c>
      <c r="K5" s="4"/>
      <c r="L5" s="4"/>
      <c r="M5" s="22">
        <v>0.96</v>
      </c>
      <c r="N5" s="4">
        <v>32640</v>
      </c>
    </row>
    <row r="6" spans="1:14">
      <c r="A6" s="2" t="s">
        <v>24</v>
      </c>
      <c r="B6" s="4" t="s">
        <v>15</v>
      </c>
      <c r="C6" s="4" t="s">
        <v>21</v>
      </c>
      <c r="D6" s="4" t="s">
        <v>17</v>
      </c>
      <c r="E6" s="4"/>
      <c r="F6" s="4" t="s">
        <v>18</v>
      </c>
      <c r="G6" s="4"/>
      <c r="H6" s="4"/>
      <c r="I6" s="4"/>
      <c r="J6" s="4" t="s">
        <v>19</v>
      </c>
      <c r="K6" s="4"/>
      <c r="L6" s="4"/>
      <c r="M6" s="22">
        <v>0.94</v>
      </c>
      <c r="N6" s="4">
        <v>36309</v>
      </c>
    </row>
    <row r="7" spans="1:14">
      <c r="A7" s="2" t="s">
        <v>25</v>
      </c>
      <c r="B7" s="4" t="s">
        <v>26</v>
      </c>
      <c r="C7" s="4" t="s">
        <v>27</v>
      </c>
      <c r="D7" s="4" t="s">
        <v>28</v>
      </c>
      <c r="E7" s="4"/>
      <c r="F7" s="4" t="s">
        <v>29</v>
      </c>
      <c r="G7" s="4">
        <v>130</v>
      </c>
      <c r="H7" s="4"/>
      <c r="I7" s="4"/>
      <c r="J7" s="4" t="s">
        <v>19</v>
      </c>
      <c r="K7" s="4"/>
      <c r="L7" s="4"/>
      <c r="M7" s="22">
        <v>0.53</v>
      </c>
      <c r="N7" s="4">
        <v>60985</v>
      </c>
    </row>
    <row r="8" spans="1:14">
      <c r="A8" s="2" t="s">
        <v>25</v>
      </c>
      <c r="B8" s="4" t="s">
        <v>26</v>
      </c>
      <c r="C8" s="4" t="s">
        <v>30</v>
      </c>
      <c r="D8" s="4" t="s">
        <v>28</v>
      </c>
      <c r="E8" s="4"/>
      <c r="F8" s="4" t="s">
        <v>29</v>
      </c>
      <c r="G8" s="4">
        <v>150</v>
      </c>
      <c r="H8" s="4"/>
      <c r="I8" s="4"/>
      <c r="J8" s="4" t="s">
        <v>19</v>
      </c>
      <c r="K8" s="4"/>
      <c r="L8" s="4"/>
      <c r="M8" s="22">
        <v>0.67</v>
      </c>
      <c r="N8" s="4">
        <v>65188</v>
      </c>
    </row>
    <row r="9" spans="1:14">
      <c r="A9" s="2" t="s">
        <v>31</v>
      </c>
      <c r="B9" s="4" t="s">
        <v>15</v>
      </c>
      <c r="C9" s="4" t="s">
        <v>21</v>
      </c>
      <c r="D9" s="4" t="s">
        <v>17</v>
      </c>
      <c r="E9" s="4"/>
      <c r="F9" s="4" t="s">
        <v>18</v>
      </c>
      <c r="G9" s="4"/>
      <c r="H9" s="4"/>
      <c r="I9" s="4"/>
      <c r="J9" s="4" t="s">
        <v>19</v>
      </c>
      <c r="K9" s="4"/>
      <c r="L9" s="4"/>
      <c r="M9" s="4">
        <v>0.91</v>
      </c>
      <c r="N9" s="4">
        <v>33805</v>
      </c>
    </row>
    <row r="10" spans="1:14">
      <c r="A10" s="2" t="s">
        <v>32</v>
      </c>
      <c r="B10" s="4" t="s">
        <v>15</v>
      </c>
      <c r="C10" s="4" t="s">
        <v>21</v>
      </c>
      <c r="D10" s="4" t="s">
        <v>17</v>
      </c>
      <c r="E10" s="4"/>
      <c r="F10" s="4" t="s">
        <v>18</v>
      </c>
      <c r="G10" s="4"/>
      <c r="H10" s="4"/>
      <c r="I10" s="4"/>
      <c r="J10" s="4" t="s">
        <v>19</v>
      </c>
      <c r="K10" s="4"/>
      <c r="L10" s="4"/>
      <c r="M10" s="4">
        <v>0.94</v>
      </c>
      <c r="N10" s="4">
        <v>31748</v>
      </c>
    </row>
    <row r="11" spans="1:14">
      <c r="A11" s="2" t="s">
        <v>33</v>
      </c>
      <c r="B11" s="4" t="s">
        <v>15</v>
      </c>
      <c r="C11" s="4" t="s">
        <v>34</v>
      </c>
      <c r="D11" s="4" t="s">
        <v>17</v>
      </c>
      <c r="E11" s="4" t="s">
        <v>35</v>
      </c>
      <c r="F11" s="4" t="s">
        <v>18</v>
      </c>
      <c r="G11" s="4"/>
      <c r="H11" s="4"/>
      <c r="I11" s="4"/>
      <c r="J11" s="4" t="s">
        <v>19</v>
      </c>
      <c r="K11" s="4"/>
      <c r="L11" s="4"/>
      <c r="M11" s="4">
        <v>1.07</v>
      </c>
      <c r="N11" s="4">
        <v>31544</v>
      </c>
    </row>
    <row r="12" spans="1:14">
      <c r="A12" s="2" t="s">
        <v>36</v>
      </c>
      <c r="B12" s="4" t="s">
        <v>15</v>
      </c>
      <c r="C12" s="4" t="s">
        <v>34</v>
      </c>
      <c r="D12" s="4" t="s">
        <v>17</v>
      </c>
      <c r="E12" s="4" t="s">
        <v>35</v>
      </c>
      <c r="F12" s="4" t="s">
        <v>18</v>
      </c>
      <c r="G12" s="4"/>
      <c r="H12" s="4"/>
      <c r="I12" s="4"/>
      <c r="J12" s="4" t="s">
        <v>19</v>
      </c>
      <c r="K12" s="4"/>
      <c r="L12" s="4"/>
      <c r="M12" s="4">
        <v>1.07</v>
      </c>
      <c r="N12" s="4">
        <v>31197</v>
      </c>
    </row>
    <row r="13" spans="1:14">
      <c r="A13" s="2" t="s">
        <v>37</v>
      </c>
      <c r="B13" s="4" t="s">
        <v>15</v>
      </c>
      <c r="C13" s="4" t="s">
        <v>21</v>
      </c>
      <c r="D13" s="4" t="s">
        <v>17</v>
      </c>
      <c r="E13" s="4"/>
      <c r="F13" s="4" t="s">
        <v>18</v>
      </c>
      <c r="G13" s="4"/>
      <c r="H13" s="4"/>
      <c r="I13" s="4"/>
      <c r="J13" s="4" t="s">
        <v>19</v>
      </c>
      <c r="K13" s="4"/>
      <c r="L13" s="4"/>
      <c r="M13" s="4">
        <v>0.94</v>
      </c>
      <c r="N13" s="4">
        <v>31465</v>
      </c>
    </row>
    <row r="14" spans="1:14">
      <c r="A14" s="2" t="s">
        <v>38</v>
      </c>
      <c r="B14" s="4" t="s">
        <v>15</v>
      </c>
      <c r="C14" s="4" t="s">
        <v>21</v>
      </c>
      <c r="D14" s="4" t="s">
        <v>17</v>
      </c>
      <c r="E14" s="4"/>
      <c r="F14" s="4" t="s">
        <v>18</v>
      </c>
      <c r="G14" s="4"/>
      <c r="H14" s="4"/>
      <c r="I14" s="4"/>
      <c r="J14" s="4" t="s">
        <v>19</v>
      </c>
      <c r="K14" s="4"/>
      <c r="L14" s="4"/>
      <c r="M14" s="4">
        <v>0.94</v>
      </c>
      <c r="N14" s="4">
        <v>30826</v>
      </c>
    </row>
    <row r="15" spans="1:14">
      <c r="A15" s="2" t="s">
        <v>39</v>
      </c>
      <c r="B15" s="4" t="s">
        <v>40</v>
      </c>
      <c r="C15" s="4" t="s">
        <v>41</v>
      </c>
      <c r="D15" s="4" t="s">
        <v>40</v>
      </c>
      <c r="E15" s="4"/>
      <c r="F15" s="4" t="s">
        <v>42</v>
      </c>
      <c r="G15" s="4"/>
      <c r="H15" s="4"/>
      <c r="I15" s="4"/>
      <c r="J15" s="4" t="s">
        <v>19</v>
      </c>
      <c r="K15" s="4"/>
      <c r="L15" s="4"/>
      <c r="M15" s="4">
        <v>1.1200000000000001</v>
      </c>
      <c r="N15" s="4">
        <v>36379</v>
      </c>
    </row>
    <row r="16" spans="1:14">
      <c r="A16" s="2" t="s">
        <v>43</v>
      </c>
      <c r="B16" s="4" t="s">
        <v>15</v>
      </c>
      <c r="C16" s="4" t="s">
        <v>21</v>
      </c>
      <c r="D16" s="4" t="s">
        <v>17</v>
      </c>
      <c r="E16" s="4"/>
      <c r="F16" s="4" t="s">
        <v>18</v>
      </c>
      <c r="G16" s="4"/>
      <c r="H16" s="4"/>
      <c r="I16" s="4"/>
      <c r="J16" s="4" t="s">
        <v>19</v>
      </c>
      <c r="K16" s="4"/>
      <c r="L16" s="4"/>
      <c r="M16" s="4">
        <v>0.94</v>
      </c>
      <c r="N16" s="4">
        <v>31056</v>
      </c>
    </row>
    <row r="17" spans="1:14">
      <c r="A17" s="2" t="s">
        <v>44</v>
      </c>
      <c r="B17" s="4" t="s">
        <v>15</v>
      </c>
      <c r="C17" s="4" t="s">
        <v>45</v>
      </c>
      <c r="D17" s="4" t="s">
        <v>17</v>
      </c>
      <c r="E17" s="4" t="s">
        <v>46</v>
      </c>
      <c r="F17" s="4" t="s">
        <v>18</v>
      </c>
      <c r="G17" s="4"/>
      <c r="H17" s="4"/>
      <c r="I17" s="4"/>
      <c r="J17" s="4" t="s">
        <v>19</v>
      </c>
      <c r="K17" s="4"/>
      <c r="L17" s="4"/>
      <c r="M17" s="4">
        <v>1</v>
      </c>
      <c r="N17" s="4">
        <v>34613</v>
      </c>
    </row>
    <row r="18" spans="1:14">
      <c r="A18" s="2" t="s">
        <v>47</v>
      </c>
      <c r="B18" s="4" t="s">
        <v>48</v>
      </c>
      <c r="C18" s="4" t="s">
        <v>49</v>
      </c>
      <c r="D18" s="4" t="s">
        <v>50</v>
      </c>
      <c r="E18" s="4"/>
      <c r="F18" s="4" t="s">
        <v>51</v>
      </c>
      <c r="G18" s="4">
        <v>210</v>
      </c>
      <c r="H18" s="4"/>
      <c r="I18" s="4"/>
      <c r="J18" s="4" t="s">
        <v>52</v>
      </c>
      <c r="K18" s="4" t="s">
        <v>53</v>
      </c>
      <c r="L18" s="4"/>
      <c r="M18" s="4">
        <v>2.4500000000000002</v>
      </c>
      <c r="N18" s="4">
        <v>4691.1000000000004</v>
      </c>
    </row>
    <row r="19" spans="1:14">
      <c r="A19" s="2" t="s">
        <v>54</v>
      </c>
      <c r="B19" s="4" t="s">
        <v>15</v>
      </c>
      <c r="C19" s="4" t="s">
        <v>34</v>
      </c>
      <c r="D19" s="4" t="s">
        <v>17</v>
      </c>
      <c r="E19" s="4" t="s">
        <v>35</v>
      </c>
      <c r="F19" s="4" t="s">
        <v>18</v>
      </c>
      <c r="G19" s="4"/>
      <c r="H19" s="4"/>
      <c r="I19" s="4"/>
      <c r="J19" s="4" t="s">
        <v>19</v>
      </c>
      <c r="K19" s="4"/>
      <c r="L19" s="4"/>
      <c r="M19" s="4">
        <v>1.06</v>
      </c>
      <c r="N19" s="4">
        <v>33001</v>
      </c>
    </row>
    <row r="20" spans="1:14">
      <c r="A20" s="2" t="s">
        <v>55</v>
      </c>
      <c r="B20" s="4" t="s">
        <v>15</v>
      </c>
      <c r="C20" s="4" t="s">
        <v>34</v>
      </c>
      <c r="D20" s="4" t="s">
        <v>17</v>
      </c>
      <c r="E20" s="4" t="s">
        <v>35</v>
      </c>
      <c r="F20" s="4" t="s">
        <v>18</v>
      </c>
      <c r="G20" s="4"/>
      <c r="H20" s="4"/>
      <c r="I20" s="4"/>
      <c r="J20" s="4" t="s">
        <v>19</v>
      </c>
      <c r="K20" s="4"/>
      <c r="L20" s="4"/>
      <c r="M20" s="4">
        <v>1.06</v>
      </c>
      <c r="N20" s="4">
        <v>32736</v>
      </c>
    </row>
    <row r="21" spans="1:14">
      <c r="A21" s="2" t="s">
        <v>56</v>
      </c>
      <c r="B21" s="4" t="s">
        <v>15</v>
      </c>
      <c r="C21" s="4" t="s">
        <v>34</v>
      </c>
      <c r="D21" s="4" t="s">
        <v>17</v>
      </c>
      <c r="E21" s="4" t="s">
        <v>35</v>
      </c>
      <c r="F21" s="4" t="s">
        <v>18</v>
      </c>
      <c r="G21" s="4"/>
      <c r="H21" s="4"/>
      <c r="I21" s="4"/>
      <c r="J21" s="4" t="s">
        <v>19</v>
      </c>
      <c r="K21" s="4"/>
      <c r="L21" s="4"/>
      <c r="M21" s="4">
        <v>1.06</v>
      </c>
      <c r="N21" s="4">
        <v>31460</v>
      </c>
    </row>
    <row r="22" spans="1:14">
      <c r="A22" s="2" t="s">
        <v>57</v>
      </c>
      <c r="B22" s="4" t="s">
        <v>15</v>
      </c>
      <c r="C22" s="4" t="s">
        <v>58</v>
      </c>
      <c r="D22" s="4" t="s">
        <v>17</v>
      </c>
      <c r="E22" s="4"/>
      <c r="F22" s="4" t="s">
        <v>18</v>
      </c>
      <c r="G22" s="4"/>
      <c r="H22" s="4"/>
      <c r="I22" s="4"/>
      <c r="J22" s="4" t="s">
        <v>19</v>
      </c>
      <c r="K22" s="4"/>
      <c r="L22" s="4"/>
      <c r="M22" s="4">
        <v>0.53</v>
      </c>
      <c r="N22" s="4">
        <v>32817.769999999997</v>
      </c>
    </row>
    <row r="23" spans="1:14">
      <c r="A23" s="2" t="s">
        <v>57</v>
      </c>
      <c r="B23" s="4" t="s">
        <v>15</v>
      </c>
      <c r="C23" s="4" t="s">
        <v>58</v>
      </c>
      <c r="D23" s="4" t="s">
        <v>17</v>
      </c>
      <c r="E23" s="4"/>
      <c r="F23" s="4" t="s">
        <v>18</v>
      </c>
      <c r="G23" s="4"/>
      <c r="H23" s="4"/>
      <c r="I23" s="4"/>
      <c r="J23" s="4" t="s">
        <v>19</v>
      </c>
      <c r="K23" s="4"/>
      <c r="L23" s="4"/>
      <c r="M23" s="4">
        <v>0.64</v>
      </c>
      <c r="N23" s="23">
        <v>40961.800000000003</v>
      </c>
    </row>
    <row r="24" spans="1:14">
      <c r="A24" s="2" t="s">
        <v>59</v>
      </c>
      <c r="B24" s="4" t="s">
        <v>15</v>
      </c>
      <c r="C24" s="4" t="s">
        <v>34</v>
      </c>
      <c r="D24" s="4" t="s">
        <v>17</v>
      </c>
      <c r="E24" s="4" t="s">
        <v>35</v>
      </c>
      <c r="F24" s="4" t="s">
        <v>18</v>
      </c>
      <c r="G24" s="4"/>
      <c r="H24" s="4"/>
      <c r="I24" s="4"/>
      <c r="J24" s="4" t="s">
        <v>19</v>
      </c>
      <c r="K24" s="4"/>
      <c r="L24" s="4"/>
      <c r="M24" s="4">
        <v>1.06</v>
      </c>
      <c r="N24" s="4">
        <v>32129</v>
      </c>
    </row>
    <row r="25" spans="1:14">
      <c r="A25" s="2" t="s">
        <v>60</v>
      </c>
      <c r="B25" s="4" t="s">
        <v>15</v>
      </c>
      <c r="C25" s="4" t="s">
        <v>34</v>
      </c>
      <c r="D25" s="4" t="s">
        <v>17</v>
      </c>
      <c r="E25" s="4" t="s">
        <v>35</v>
      </c>
      <c r="F25" s="4" t="s">
        <v>18</v>
      </c>
      <c r="G25" s="4"/>
      <c r="H25" s="4"/>
      <c r="I25" s="4"/>
      <c r="J25" s="4" t="s">
        <v>19</v>
      </c>
      <c r="K25" s="4"/>
      <c r="L25" s="4"/>
      <c r="M25" s="4">
        <v>1.06</v>
      </c>
      <c r="N25" s="4">
        <v>31095</v>
      </c>
    </row>
    <row r="26" spans="1:14">
      <c r="A26" s="2" t="s">
        <v>61</v>
      </c>
      <c r="B26" s="4" t="s">
        <v>15</v>
      </c>
      <c r="C26" s="4" t="s">
        <v>21</v>
      </c>
      <c r="D26" s="4" t="s">
        <v>17</v>
      </c>
      <c r="E26" s="4"/>
      <c r="F26" s="4" t="s">
        <v>18</v>
      </c>
      <c r="G26" s="4"/>
      <c r="H26" s="4"/>
      <c r="I26" s="4"/>
      <c r="J26" s="4" t="s">
        <v>19</v>
      </c>
      <c r="K26" s="4"/>
      <c r="L26" s="4"/>
      <c r="M26" s="4">
        <v>0.96</v>
      </c>
      <c r="N26" s="4">
        <v>30786</v>
      </c>
    </row>
    <row r="27" spans="1:14">
      <c r="A27" s="2" t="s">
        <v>62</v>
      </c>
      <c r="B27" s="4" t="s">
        <v>15</v>
      </c>
      <c r="C27" s="4" t="s">
        <v>21</v>
      </c>
      <c r="D27" s="4" t="s">
        <v>17</v>
      </c>
      <c r="E27" s="4"/>
      <c r="F27" s="4" t="s">
        <v>18</v>
      </c>
      <c r="G27" s="4"/>
      <c r="H27" s="4"/>
      <c r="I27" s="4"/>
      <c r="J27" s="4" t="s">
        <v>19</v>
      </c>
      <c r="K27" s="4"/>
      <c r="L27" s="4"/>
      <c r="M27" s="4">
        <v>0.96</v>
      </c>
      <c r="N27" s="4">
        <v>30911</v>
      </c>
    </row>
    <row r="28" spans="1:14">
      <c r="A28" s="2" t="s">
        <v>63</v>
      </c>
      <c r="B28" s="4" t="s">
        <v>15</v>
      </c>
      <c r="C28" s="4" t="s">
        <v>16</v>
      </c>
      <c r="D28" s="4" t="s">
        <v>17</v>
      </c>
      <c r="E28" s="4"/>
      <c r="F28" s="4" t="s">
        <v>18</v>
      </c>
      <c r="G28" s="4"/>
      <c r="H28" s="4"/>
      <c r="I28" s="4"/>
      <c r="J28" s="4" t="s">
        <v>19</v>
      </c>
      <c r="K28" s="4"/>
      <c r="L28" s="4"/>
      <c r="M28" s="4">
        <v>1.1399999999999999</v>
      </c>
      <c r="N28" s="4">
        <v>30887</v>
      </c>
    </row>
    <row r="29" spans="1:14">
      <c r="A29" s="2" t="s">
        <v>63</v>
      </c>
      <c r="B29" s="4" t="s">
        <v>15</v>
      </c>
      <c r="C29" s="4" t="s">
        <v>16</v>
      </c>
      <c r="D29" s="4" t="s">
        <v>17</v>
      </c>
      <c r="E29" s="4"/>
      <c r="F29" s="4" t="s">
        <v>18</v>
      </c>
      <c r="G29" s="4"/>
      <c r="H29" s="4"/>
      <c r="I29" s="4"/>
      <c r="J29" s="4" t="s">
        <v>19</v>
      </c>
      <c r="K29" s="4"/>
      <c r="L29" s="4"/>
      <c r="M29" s="4">
        <v>1.1200000000000001</v>
      </c>
      <c r="N29" s="4">
        <v>30665</v>
      </c>
    </row>
    <row r="30" spans="1:14">
      <c r="A30" s="2" t="s">
        <v>63</v>
      </c>
      <c r="B30" s="4" t="s">
        <v>15</v>
      </c>
      <c r="C30" s="4" t="s">
        <v>16</v>
      </c>
      <c r="D30" s="4" t="s">
        <v>17</v>
      </c>
      <c r="E30" s="4"/>
      <c r="F30" s="4" t="s">
        <v>18</v>
      </c>
      <c r="G30" s="4"/>
      <c r="H30" s="4"/>
      <c r="I30" s="4"/>
      <c r="J30" s="4" t="s">
        <v>19</v>
      </c>
      <c r="K30" s="4"/>
      <c r="L30" s="4"/>
      <c r="M30" s="4">
        <v>1.28</v>
      </c>
      <c r="N30" s="4">
        <v>1280</v>
      </c>
    </row>
    <row r="31" spans="1:14">
      <c r="A31" s="2" t="s">
        <v>64</v>
      </c>
      <c r="B31" s="4" t="s">
        <v>15</v>
      </c>
      <c r="C31" s="4" t="s">
        <v>21</v>
      </c>
      <c r="D31" s="4" t="s">
        <v>17</v>
      </c>
      <c r="E31" s="4"/>
      <c r="F31" s="4" t="s">
        <v>18</v>
      </c>
      <c r="G31" s="4"/>
      <c r="H31" s="4"/>
      <c r="I31" s="4"/>
      <c r="J31" s="4" t="s">
        <v>19</v>
      </c>
      <c r="K31" s="4"/>
      <c r="L31" s="4"/>
      <c r="M31" s="4">
        <v>0.91</v>
      </c>
      <c r="N31" s="4">
        <v>30920</v>
      </c>
    </row>
    <row r="32" spans="1:14">
      <c r="A32" s="2" t="s">
        <v>65</v>
      </c>
      <c r="B32" s="4" t="s">
        <v>15</v>
      </c>
      <c r="C32" s="4" t="s">
        <v>34</v>
      </c>
      <c r="D32" s="4" t="s">
        <v>17</v>
      </c>
      <c r="E32" s="4" t="s">
        <v>35</v>
      </c>
      <c r="F32" s="4" t="s">
        <v>18</v>
      </c>
      <c r="G32" s="4"/>
      <c r="H32" s="4"/>
      <c r="I32" s="4"/>
      <c r="J32" s="4" t="s">
        <v>19</v>
      </c>
      <c r="K32" s="4"/>
      <c r="L32" s="4"/>
      <c r="M32" s="4">
        <v>1.04</v>
      </c>
      <c r="N32" s="4">
        <v>32899</v>
      </c>
    </row>
    <row r="33" spans="1:14">
      <c r="A33" s="2" t="s">
        <v>66</v>
      </c>
      <c r="B33" s="4" t="s">
        <v>15</v>
      </c>
      <c r="C33" s="4" t="s">
        <v>21</v>
      </c>
      <c r="D33" s="4" t="s">
        <v>17</v>
      </c>
      <c r="E33" s="4"/>
      <c r="F33" s="4" t="s">
        <v>18</v>
      </c>
      <c r="G33" s="4"/>
      <c r="H33" s="4"/>
      <c r="I33" s="4"/>
      <c r="J33" s="4" t="s">
        <v>19</v>
      </c>
      <c r="K33" s="4"/>
      <c r="L33" s="4"/>
      <c r="M33" s="4">
        <v>0.91</v>
      </c>
      <c r="N33" s="4">
        <v>30770</v>
      </c>
    </row>
    <row r="34" spans="1:14" s="18" customFormat="1">
      <c r="A34" s="10" t="s">
        <v>67</v>
      </c>
      <c r="B34" s="20" t="s">
        <v>15</v>
      </c>
      <c r="C34" s="4" t="s">
        <v>21</v>
      </c>
      <c r="D34" s="20" t="s">
        <v>17</v>
      </c>
      <c r="E34" s="20"/>
      <c r="F34" s="20" t="s">
        <v>18</v>
      </c>
      <c r="G34" s="20"/>
      <c r="H34" s="20"/>
      <c r="I34" s="20"/>
      <c r="J34" s="20" t="s">
        <v>19</v>
      </c>
      <c r="K34" s="20"/>
      <c r="L34" s="20"/>
      <c r="M34" s="20">
        <v>0.9</v>
      </c>
      <c r="N34" s="20">
        <v>30856</v>
      </c>
    </row>
    <row r="35" spans="1:14">
      <c r="A35" s="2" t="s">
        <v>68</v>
      </c>
      <c r="B35" s="4" t="s">
        <v>15</v>
      </c>
      <c r="C35" s="4" t="s">
        <v>34</v>
      </c>
      <c r="D35" s="4" t="s">
        <v>17</v>
      </c>
      <c r="E35" s="4" t="s">
        <v>35</v>
      </c>
      <c r="F35" s="4" t="s">
        <v>18</v>
      </c>
      <c r="G35" s="4"/>
      <c r="H35" s="4"/>
      <c r="I35" s="4"/>
      <c r="J35" s="4" t="s">
        <v>19</v>
      </c>
      <c r="K35" s="4"/>
      <c r="L35" s="4"/>
      <c r="M35" s="4">
        <v>1.04</v>
      </c>
      <c r="N35" s="4">
        <v>32508</v>
      </c>
    </row>
    <row r="36" spans="1:14">
      <c r="A36" s="2" t="s">
        <v>69</v>
      </c>
      <c r="B36" s="4" t="s">
        <v>15</v>
      </c>
      <c r="C36" s="4" t="s">
        <v>70</v>
      </c>
      <c r="D36" s="4" t="s">
        <v>17</v>
      </c>
      <c r="E36" s="4" t="s">
        <v>71</v>
      </c>
      <c r="F36" s="4" t="s">
        <v>18</v>
      </c>
      <c r="G36" s="4"/>
      <c r="H36" s="4"/>
      <c r="I36" s="4"/>
      <c r="J36" s="4" t="s">
        <v>19</v>
      </c>
      <c r="K36" s="4"/>
      <c r="L36" s="4"/>
      <c r="M36" s="4">
        <v>1.06</v>
      </c>
      <c r="N36" s="4">
        <v>39225</v>
      </c>
    </row>
    <row r="37" spans="1:14">
      <c r="A37" s="2" t="s">
        <v>72</v>
      </c>
      <c r="B37" s="4" t="s">
        <v>73</v>
      </c>
      <c r="C37" s="4" t="s">
        <v>74</v>
      </c>
      <c r="D37" s="4" t="s">
        <v>75</v>
      </c>
      <c r="E37" s="4"/>
      <c r="F37" s="4" t="s">
        <v>76</v>
      </c>
      <c r="G37" s="4"/>
      <c r="H37" s="4"/>
      <c r="I37" s="4"/>
      <c r="J37" s="4" t="s">
        <v>77</v>
      </c>
      <c r="K37" s="4"/>
      <c r="L37" s="4"/>
      <c r="M37" s="4">
        <v>270</v>
      </c>
      <c r="N37" s="4">
        <v>5</v>
      </c>
    </row>
    <row r="38" spans="1:14">
      <c r="A38" s="2" t="s">
        <v>72</v>
      </c>
      <c r="B38" s="4" t="s">
        <v>78</v>
      </c>
      <c r="C38" s="4" t="s">
        <v>74</v>
      </c>
      <c r="D38" s="4" t="s">
        <v>75</v>
      </c>
      <c r="E38" s="4"/>
      <c r="F38" s="4" t="s">
        <v>76</v>
      </c>
      <c r="G38" s="4"/>
      <c r="H38" s="4"/>
      <c r="I38" s="4"/>
      <c r="J38" s="4" t="s">
        <v>77</v>
      </c>
      <c r="K38" s="4"/>
      <c r="L38" s="4"/>
      <c r="M38" s="4">
        <v>65</v>
      </c>
      <c r="N38" s="4">
        <v>25</v>
      </c>
    </row>
    <row r="39" spans="1:14">
      <c r="A39" s="2" t="s">
        <v>72</v>
      </c>
      <c r="B39" s="4" t="s">
        <v>79</v>
      </c>
      <c r="C39" s="4" t="s">
        <v>74</v>
      </c>
      <c r="D39" s="4" t="s">
        <v>75</v>
      </c>
      <c r="E39" s="4"/>
      <c r="F39" s="4" t="s">
        <v>76</v>
      </c>
      <c r="G39" s="4"/>
      <c r="H39" s="4"/>
      <c r="I39" s="4"/>
      <c r="J39" s="4" t="s">
        <v>77</v>
      </c>
      <c r="K39" s="4"/>
      <c r="L39" s="4"/>
      <c r="M39" s="4">
        <v>108</v>
      </c>
      <c r="N39" s="4">
        <v>10</v>
      </c>
    </row>
    <row r="40" spans="1:14">
      <c r="A40" s="2" t="s">
        <v>72</v>
      </c>
      <c r="B40" s="4" t="s">
        <v>80</v>
      </c>
      <c r="C40" s="4" t="s">
        <v>74</v>
      </c>
      <c r="D40" s="4" t="s">
        <v>75</v>
      </c>
      <c r="E40" s="4"/>
      <c r="F40" s="4" t="s">
        <v>76</v>
      </c>
      <c r="G40" s="4"/>
      <c r="H40" s="4"/>
      <c r="I40" s="4"/>
      <c r="J40" s="4" t="s">
        <v>77</v>
      </c>
      <c r="K40" s="4"/>
      <c r="L40" s="4"/>
      <c r="M40" s="4">
        <v>250</v>
      </c>
      <c r="N40" s="4">
        <v>6</v>
      </c>
    </row>
    <row r="41" spans="1:14">
      <c r="A41" s="2" t="s">
        <v>72</v>
      </c>
      <c r="B41" s="4" t="s">
        <v>81</v>
      </c>
      <c r="C41" s="4" t="s">
        <v>74</v>
      </c>
      <c r="D41" s="4" t="s">
        <v>75</v>
      </c>
      <c r="E41" s="4"/>
      <c r="F41" s="4" t="s">
        <v>76</v>
      </c>
      <c r="G41" s="4"/>
      <c r="H41" s="4"/>
      <c r="I41" s="4"/>
      <c r="J41" s="4" t="s">
        <v>77</v>
      </c>
      <c r="K41" s="4"/>
      <c r="L41" s="4"/>
      <c r="M41" s="4">
        <v>98</v>
      </c>
      <c r="N41" s="4">
        <v>25</v>
      </c>
    </row>
    <row r="42" spans="1:14">
      <c r="A42" s="2" t="s">
        <v>72</v>
      </c>
      <c r="B42" s="4" t="s">
        <v>82</v>
      </c>
      <c r="C42" s="4" t="s">
        <v>74</v>
      </c>
      <c r="D42" s="4" t="s">
        <v>75</v>
      </c>
      <c r="E42" s="4"/>
      <c r="F42" s="4" t="s">
        <v>76</v>
      </c>
      <c r="G42" s="4"/>
      <c r="H42" s="4"/>
      <c r="I42" s="4"/>
      <c r="J42" s="4" t="s">
        <v>77</v>
      </c>
      <c r="K42" s="4"/>
      <c r="L42" s="4"/>
      <c r="M42" s="4">
        <v>3</v>
      </c>
      <c r="N42" s="4">
        <v>30</v>
      </c>
    </row>
    <row r="43" spans="1:14">
      <c r="A43" s="2" t="s">
        <v>72</v>
      </c>
      <c r="B43" s="4" t="s">
        <v>83</v>
      </c>
      <c r="C43" s="4" t="s">
        <v>74</v>
      </c>
      <c r="D43" s="4" t="s">
        <v>75</v>
      </c>
      <c r="E43" s="4"/>
      <c r="F43" s="4" t="s">
        <v>76</v>
      </c>
      <c r="G43" s="4"/>
      <c r="H43" s="4"/>
      <c r="I43" s="4"/>
      <c r="J43" s="4" t="s">
        <v>77</v>
      </c>
      <c r="K43" s="4"/>
      <c r="L43" s="4"/>
      <c r="M43" s="4">
        <v>100</v>
      </c>
      <c r="N43" s="4">
        <v>6</v>
      </c>
    </row>
    <row r="44" spans="1:14">
      <c r="A44" s="2" t="s">
        <v>72</v>
      </c>
      <c r="B44" s="4" t="s">
        <v>84</v>
      </c>
      <c r="C44" s="4" t="s">
        <v>74</v>
      </c>
      <c r="D44" s="4" t="s">
        <v>75</v>
      </c>
      <c r="E44" s="4"/>
      <c r="F44" s="4" t="s">
        <v>76</v>
      </c>
      <c r="G44" s="4"/>
      <c r="H44" s="4"/>
      <c r="I44" s="4"/>
      <c r="J44" s="4" t="s">
        <v>77</v>
      </c>
      <c r="K44" s="4"/>
      <c r="L44" s="4"/>
      <c r="M44" s="4">
        <v>10</v>
      </c>
      <c r="N44" s="4">
        <v>50</v>
      </c>
    </row>
    <row r="45" spans="1:14">
      <c r="A45" s="2" t="s">
        <v>72</v>
      </c>
      <c r="B45" s="4" t="s">
        <v>85</v>
      </c>
      <c r="C45" s="4" t="s">
        <v>74</v>
      </c>
      <c r="D45" s="4" t="s">
        <v>75</v>
      </c>
      <c r="E45" s="4"/>
      <c r="F45" s="4" t="s">
        <v>76</v>
      </c>
      <c r="G45" s="4"/>
      <c r="H45" s="4"/>
      <c r="I45" s="4"/>
      <c r="J45" s="4" t="s">
        <v>77</v>
      </c>
      <c r="K45" s="4"/>
      <c r="L45" s="4"/>
      <c r="M45" s="4">
        <v>90</v>
      </c>
      <c r="N45" s="4">
        <v>5</v>
      </c>
    </row>
    <row r="46" spans="1:14">
      <c r="A46" s="2" t="s">
        <v>72</v>
      </c>
      <c r="B46" s="4" t="s">
        <v>86</v>
      </c>
      <c r="C46" s="4" t="s">
        <v>74</v>
      </c>
      <c r="D46" s="4" t="s">
        <v>75</v>
      </c>
      <c r="E46" s="4"/>
      <c r="F46" s="4" t="s">
        <v>76</v>
      </c>
      <c r="G46" s="4"/>
      <c r="H46" s="4"/>
      <c r="I46" s="4"/>
      <c r="J46" s="4" t="s">
        <v>77</v>
      </c>
      <c r="K46" s="4"/>
      <c r="L46" s="4"/>
      <c r="M46" s="4">
        <v>15</v>
      </c>
      <c r="N46" s="4">
        <v>50</v>
      </c>
    </row>
    <row r="47" spans="1:14">
      <c r="A47" s="2" t="s">
        <v>87</v>
      </c>
      <c r="B47" s="4" t="s">
        <v>88</v>
      </c>
      <c r="C47" s="4" t="s">
        <v>89</v>
      </c>
      <c r="D47" s="4" t="s">
        <v>88</v>
      </c>
      <c r="E47" s="4"/>
      <c r="F47" s="4" t="s">
        <v>90</v>
      </c>
      <c r="G47" s="4">
        <v>185</v>
      </c>
      <c r="H47" s="4" t="s">
        <v>91</v>
      </c>
      <c r="I47" s="4"/>
      <c r="J47" s="4" t="s">
        <v>19</v>
      </c>
      <c r="K47" s="4"/>
      <c r="L47" s="4"/>
      <c r="M47" s="4">
        <v>1.28</v>
      </c>
      <c r="N47" s="24">
        <v>57844.4</v>
      </c>
    </row>
    <row r="48" spans="1:14">
      <c r="A48" s="2" t="s">
        <v>92</v>
      </c>
      <c r="B48" s="4" t="s">
        <v>15</v>
      </c>
      <c r="C48" s="4" t="s">
        <v>16</v>
      </c>
      <c r="D48" s="4" t="s">
        <v>17</v>
      </c>
      <c r="E48" s="4"/>
      <c r="F48" s="4" t="s">
        <v>18</v>
      </c>
      <c r="G48" s="4"/>
      <c r="H48" s="4"/>
      <c r="I48" s="4"/>
      <c r="J48" s="4" t="s">
        <v>19</v>
      </c>
      <c r="K48" s="4"/>
      <c r="L48" s="4"/>
      <c r="M48" s="4">
        <v>1.04</v>
      </c>
      <c r="N48" s="4">
        <v>33575</v>
      </c>
    </row>
    <row r="49" spans="1:14">
      <c r="A49" s="2" t="s">
        <v>93</v>
      </c>
      <c r="B49" s="4" t="s">
        <v>15</v>
      </c>
      <c r="C49" s="4" t="s">
        <v>70</v>
      </c>
      <c r="D49" s="4" t="s">
        <v>17</v>
      </c>
      <c r="E49" s="4" t="s">
        <v>71</v>
      </c>
      <c r="F49" s="4" t="s">
        <v>18</v>
      </c>
      <c r="G49" s="4"/>
      <c r="H49" s="4"/>
      <c r="I49" s="4"/>
      <c r="J49" s="4" t="s">
        <v>19</v>
      </c>
      <c r="K49" s="4"/>
      <c r="L49" s="4"/>
      <c r="M49" s="4">
        <v>1.06</v>
      </c>
      <c r="N49" s="4">
        <v>38993</v>
      </c>
    </row>
    <row r="50" spans="1:14">
      <c r="A50" s="2" t="s">
        <v>94</v>
      </c>
      <c r="B50" s="4" t="s">
        <v>95</v>
      </c>
      <c r="C50" s="4" t="s">
        <v>96</v>
      </c>
      <c r="D50" s="4" t="s">
        <v>97</v>
      </c>
      <c r="E50" s="4"/>
      <c r="F50" s="4" t="s">
        <v>98</v>
      </c>
      <c r="G50" s="4" t="s">
        <v>99</v>
      </c>
      <c r="H50" s="4" t="s">
        <v>100</v>
      </c>
      <c r="I50" s="4"/>
      <c r="J50" s="4" t="s">
        <v>101</v>
      </c>
      <c r="K50" s="4"/>
      <c r="L50" s="4"/>
      <c r="M50" s="4">
        <v>5.05</v>
      </c>
      <c r="N50" s="4">
        <v>3403.9</v>
      </c>
    </row>
    <row r="51" spans="1:14">
      <c r="A51" s="9" t="s">
        <v>102</v>
      </c>
      <c r="B51" s="4" t="s">
        <v>15</v>
      </c>
      <c r="C51" s="4" t="s">
        <v>21</v>
      </c>
      <c r="D51" s="4" t="s">
        <v>17</v>
      </c>
      <c r="E51" s="4"/>
      <c r="F51" s="4" t="s">
        <v>18</v>
      </c>
      <c r="G51" s="4"/>
      <c r="H51" s="4"/>
      <c r="I51" s="4"/>
      <c r="J51" s="4" t="s">
        <v>19</v>
      </c>
      <c r="K51" s="4"/>
      <c r="L51" s="4"/>
      <c r="M51" s="4">
        <v>0.9</v>
      </c>
      <c r="N51" s="4">
        <v>30474</v>
      </c>
    </row>
    <row r="52" spans="1:14">
      <c r="A52" s="2" t="s">
        <v>103</v>
      </c>
      <c r="B52" s="4" t="s">
        <v>15</v>
      </c>
      <c r="C52" s="4" t="s">
        <v>21</v>
      </c>
      <c r="D52" s="4" t="s">
        <v>17</v>
      </c>
      <c r="E52" s="4"/>
      <c r="F52" s="4" t="s">
        <v>18</v>
      </c>
      <c r="G52" s="4"/>
      <c r="H52" s="4"/>
      <c r="I52" s="4"/>
      <c r="J52" s="4" t="s">
        <v>19</v>
      </c>
      <c r="K52" s="4"/>
      <c r="L52" s="4"/>
      <c r="M52" s="4">
        <v>0.9</v>
      </c>
      <c r="N52" s="4">
        <v>32592</v>
      </c>
    </row>
    <row r="53" spans="1:14">
      <c r="A53" s="7" t="s">
        <v>104</v>
      </c>
      <c r="B53" s="4" t="s">
        <v>15</v>
      </c>
      <c r="C53" s="4" t="s">
        <v>70</v>
      </c>
      <c r="D53" s="4" t="s">
        <v>17</v>
      </c>
      <c r="E53" s="4" t="s">
        <v>71</v>
      </c>
      <c r="F53" s="4" t="s">
        <v>18</v>
      </c>
      <c r="G53" s="4"/>
      <c r="H53" s="4"/>
      <c r="I53" s="4"/>
      <c r="J53" s="4" t="s">
        <v>19</v>
      </c>
      <c r="K53" s="4"/>
      <c r="L53" s="4"/>
      <c r="M53" s="4">
        <v>1.1100000000000001</v>
      </c>
      <c r="N53" s="4">
        <v>38563</v>
      </c>
    </row>
    <row r="54" spans="1:14">
      <c r="A54" s="9" t="s">
        <v>105</v>
      </c>
      <c r="B54" s="4" t="s">
        <v>15</v>
      </c>
      <c r="C54" s="4" t="s">
        <v>34</v>
      </c>
      <c r="D54" s="4" t="s">
        <v>17</v>
      </c>
      <c r="E54" s="4" t="s">
        <v>35</v>
      </c>
      <c r="F54" s="4" t="s">
        <v>18</v>
      </c>
      <c r="G54" s="4"/>
      <c r="H54" s="4"/>
      <c r="I54" s="4"/>
      <c r="J54" s="4" t="s">
        <v>19</v>
      </c>
      <c r="K54" s="4"/>
      <c r="L54" s="4"/>
      <c r="M54" s="22">
        <v>1.04</v>
      </c>
      <c r="N54" s="4">
        <v>32605</v>
      </c>
    </row>
    <row r="55" spans="1:14">
      <c r="A55" s="10" t="s">
        <v>106</v>
      </c>
      <c r="B55" s="4" t="s">
        <v>15</v>
      </c>
      <c r="C55" s="4" t="s">
        <v>16</v>
      </c>
      <c r="D55" s="4" t="s">
        <v>17</v>
      </c>
      <c r="E55" s="4"/>
      <c r="F55" s="4" t="s">
        <v>18</v>
      </c>
      <c r="G55" s="4"/>
      <c r="H55" s="4"/>
      <c r="I55" s="4"/>
      <c r="J55" s="4" t="s">
        <v>19</v>
      </c>
      <c r="K55" s="4"/>
      <c r="L55" s="4"/>
      <c r="M55" s="4">
        <v>1.04</v>
      </c>
      <c r="N55" s="4">
        <v>32345</v>
      </c>
    </row>
    <row r="56" spans="1:14">
      <c r="A56" s="10" t="s">
        <v>107</v>
      </c>
      <c r="B56" s="4" t="s">
        <v>15</v>
      </c>
      <c r="C56" s="4" t="s">
        <v>108</v>
      </c>
      <c r="D56" s="4" t="s">
        <v>17</v>
      </c>
      <c r="E56" s="4" t="s">
        <v>109</v>
      </c>
      <c r="F56" s="4" t="s">
        <v>18</v>
      </c>
      <c r="G56" s="4"/>
      <c r="H56" s="4"/>
      <c r="I56" s="4"/>
      <c r="J56" s="4" t="s">
        <v>19</v>
      </c>
      <c r="K56" s="4"/>
      <c r="L56" s="4"/>
      <c r="M56" s="4">
        <v>0.9</v>
      </c>
      <c r="N56" s="4">
        <v>31012</v>
      </c>
    </row>
    <row r="57" spans="1:14">
      <c r="A57" s="10" t="s">
        <v>110</v>
      </c>
      <c r="B57" s="4" t="s">
        <v>15</v>
      </c>
      <c r="C57" s="4" t="s">
        <v>111</v>
      </c>
      <c r="D57" s="4" t="s">
        <v>112</v>
      </c>
      <c r="E57" s="4" t="s">
        <v>113</v>
      </c>
      <c r="F57" s="4" t="s">
        <v>18</v>
      </c>
      <c r="G57" s="4"/>
      <c r="H57" s="4"/>
      <c r="I57" s="4"/>
      <c r="J57" s="4" t="s">
        <v>19</v>
      </c>
      <c r="K57" s="4"/>
      <c r="L57" s="4"/>
      <c r="M57" s="4">
        <v>1.28</v>
      </c>
      <c r="N57" s="4">
        <v>11084</v>
      </c>
    </row>
    <row r="58" spans="1:14">
      <c r="A58" s="10" t="s">
        <v>110</v>
      </c>
      <c r="B58" s="4" t="s">
        <v>15</v>
      </c>
      <c r="C58" s="4" t="s">
        <v>16</v>
      </c>
      <c r="D58" s="4" t="s">
        <v>17</v>
      </c>
      <c r="E58" s="4"/>
      <c r="F58" s="4" t="s">
        <v>18</v>
      </c>
      <c r="G58" s="4"/>
      <c r="H58" s="4"/>
      <c r="I58" s="4"/>
      <c r="J58" s="4" t="s">
        <v>19</v>
      </c>
      <c r="K58" s="4"/>
      <c r="L58" s="4"/>
      <c r="M58" s="4">
        <v>1.26</v>
      </c>
      <c r="N58" s="4">
        <v>17673</v>
      </c>
    </row>
    <row r="59" spans="1:14">
      <c r="A59" s="10" t="s">
        <v>110</v>
      </c>
      <c r="B59" s="4" t="s">
        <v>17</v>
      </c>
      <c r="C59" s="4" t="s">
        <v>114</v>
      </c>
      <c r="D59" s="4" t="s">
        <v>17</v>
      </c>
      <c r="E59" s="4"/>
      <c r="F59" s="4" t="s">
        <v>115</v>
      </c>
      <c r="G59" s="4"/>
      <c r="H59" s="4"/>
      <c r="I59" s="4"/>
      <c r="J59" s="4" t="s">
        <v>19</v>
      </c>
      <c r="K59" s="4"/>
      <c r="L59" s="4"/>
      <c r="M59" s="4">
        <v>1.18</v>
      </c>
      <c r="N59" s="4">
        <v>6917</v>
      </c>
    </row>
    <row r="60" spans="1:14">
      <c r="A60" s="2" t="s">
        <v>116</v>
      </c>
      <c r="B60" s="4" t="s">
        <v>15</v>
      </c>
      <c r="C60" s="4" t="s">
        <v>117</v>
      </c>
      <c r="D60" s="4" t="s">
        <v>17</v>
      </c>
      <c r="E60" s="4"/>
      <c r="F60" s="4" t="s">
        <v>18</v>
      </c>
      <c r="G60" s="4"/>
      <c r="H60" s="4"/>
      <c r="I60" s="4"/>
      <c r="J60" s="4" t="s">
        <v>19</v>
      </c>
      <c r="K60" s="4"/>
      <c r="L60" s="4"/>
      <c r="M60" s="24">
        <f>0.525*1.03</f>
        <v>0.54075000000000006</v>
      </c>
      <c r="N60" s="4">
        <v>23689</v>
      </c>
    </row>
    <row r="61" spans="1:14">
      <c r="A61" s="2" t="s">
        <v>116</v>
      </c>
      <c r="B61" s="4" t="s">
        <v>15</v>
      </c>
      <c r="C61" s="4" t="s">
        <v>117</v>
      </c>
      <c r="D61" s="4" t="s">
        <v>17</v>
      </c>
      <c r="E61" s="4"/>
      <c r="F61" s="4" t="s">
        <v>18</v>
      </c>
      <c r="G61" s="4"/>
      <c r="H61" s="4"/>
      <c r="I61" s="4"/>
      <c r="J61" s="4" t="s">
        <v>19</v>
      </c>
      <c r="K61" s="4"/>
      <c r="L61" s="4"/>
      <c r="M61" s="24">
        <f>0.545*1.03</f>
        <v>0.56135000000000002</v>
      </c>
      <c r="N61" s="4">
        <v>22096</v>
      </c>
    </row>
    <row r="62" spans="1:14">
      <c r="A62" s="2" t="s">
        <v>118</v>
      </c>
      <c r="B62" s="4" t="s">
        <v>15</v>
      </c>
      <c r="C62" s="4" t="s">
        <v>117</v>
      </c>
      <c r="D62" s="4" t="s">
        <v>17</v>
      </c>
      <c r="E62" s="4"/>
      <c r="F62" s="4" t="s">
        <v>18</v>
      </c>
      <c r="G62" s="4"/>
      <c r="H62" s="4"/>
      <c r="I62" s="4"/>
      <c r="J62" s="4" t="s">
        <v>19</v>
      </c>
      <c r="K62" s="4" t="s">
        <v>53</v>
      </c>
      <c r="L62" s="4"/>
      <c r="M62" s="24">
        <f>0.525*1.03</f>
        <v>0.54075000000000006</v>
      </c>
      <c r="N62" s="4">
        <v>14040</v>
      </c>
    </row>
    <row r="63" spans="1:14">
      <c r="A63" s="2" t="s">
        <v>118</v>
      </c>
      <c r="B63" s="4" t="s">
        <v>15</v>
      </c>
      <c r="C63" s="4" t="s">
        <v>117</v>
      </c>
      <c r="D63" s="4" t="s">
        <v>17</v>
      </c>
      <c r="E63" s="4"/>
      <c r="F63" s="4" t="s">
        <v>18</v>
      </c>
      <c r="G63" s="4"/>
      <c r="H63" s="4"/>
      <c r="I63" s="4"/>
      <c r="J63" s="4" t="s">
        <v>19</v>
      </c>
      <c r="K63" s="4" t="s">
        <v>119</v>
      </c>
      <c r="L63" s="4"/>
      <c r="M63" s="24">
        <f>0.545*1.03</f>
        <v>0.56135000000000002</v>
      </c>
      <c r="N63" s="4">
        <v>31352</v>
      </c>
    </row>
    <row r="64" spans="1:14">
      <c r="A64" s="2" t="s">
        <v>120</v>
      </c>
      <c r="B64" s="4" t="s">
        <v>15</v>
      </c>
      <c r="C64" s="4" t="s">
        <v>21</v>
      </c>
      <c r="D64" s="4" t="s">
        <v>17</v>
      </c>
      <c r="E64" s="4"/>
      <c r="F64" s="4" t="s">
        <v>18</v>
      </c>
      <c r="G64" s="4"/>
      <c r="H64" s="4"/>
      <c r="I64" s="4"/>
      <c r="J64" s="4" t="s">
        <v>19</v>
      </c>
      <c r="K64" s="4"/>
      <c r="L64" s="4"/>
      <c r="M64" s="4">
        <v>0.89</v>
      </c>
      <c r="N64" s="4">
        <v>31105</v>
      </c>
    </row>
    <row r="65" spans="1:14">
      <c r="A65" s="2" t="s">
        <v>121</v>
      </c>
      <c r="B65" s="4" t="s">
        <v>15</v>
      </c>
      <c r="C65" s="4" t="s">
        <v>122</v>
      </c>
      <c r="D65" s="4" t="s">
        <v>17</v>
      </c>
      <c r="E65" s="4" t="s">
        <v>71</v>
      </c>
      <c r="F65" s="4" t="s">
        <v>18</v>
      </c>
      <c r="G65" s="4"/>
      <c r="H65" s="4"/>
      <c r="I65" s="4"/>
      <c r="J65" s="4" t="s">
        <v>19</v>
      </c>
      <c r="K65" s="4"/>
      <c r="L65" s="4"/>
      <c r="M65" s="4">
        <v>1.06</v>
      </c>
      <c r="N65" s="4">
        <v>39108</v>
      </c>
    </row>
  </sheetData>
  <autoFilter ref="A1:O65" xr:uid="{00000000-0009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Invoice-Diversified Dept</vt:lpstr>
      <vt:lpstr>Inventory-Diversified Dept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Bagdawala</dc:creator>
  <cp:lastModifiedBy>Chintan Bagdawala</cp:lastModifiedBy>
  <dcterms:created xsi:type="dcterms:W3CDTF">2023-10-17T03:20:00Z</dcterms:created>
  <dcterms:modified xsi:type="dcterms:W3CDTF">2023-12-01T05:06:28Z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410F1112E0B04B96B007AF132005DEBC_12</vt:lpwstr>
  </property>
  <property fmtid="{D5CDD505-2E9C-101B-9397-08002B2CF9AE}" pid="3" name="KSOProductBuildVer">
    <vt:lpwstr>1033-12.2.0.13306</vt:lpwstr>
  </property>
</Properties>
</file>